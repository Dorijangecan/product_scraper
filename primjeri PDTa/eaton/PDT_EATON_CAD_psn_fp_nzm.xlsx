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HR_SBD_ELECTRIC\DAKO\Eaton CAD\Profi SNAP\PDT\"/>
    </mc:Choice>
  </mc:AlternateContent>
  <xr:revisionPtr revIDLastSave="0" documentId="13_ncr:1_{DD01E3FA-6D19-48FC-BA4F-226339CC59F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Material Master Data" sheetId="2" r:id="rId1"/>
    <sheet name="Additional Documents" sheetId="3" r:id="rId2"/>
    <sheet name="Connection Point Information" sheetId="4" r:id="rId3"/>
    <sheet name="Product Accessory" sheetId="5" r:id="rId4"/>
    <sheet name="Help" sheetId="6" r:id="rId5"/>
    <sheet name="cabinet" sheetId="7" r:id="rId6"/>
    <sheet name="cabinet.mechanical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3" i="6" l="1"/>
  <c r="B493" i="6"/>
  <c r="C492" i="6"/>
  <c r="B492" i="6"/>
  <c r="C491" i="6"/>
  <c r="B491" i="6"/>
  <c r="C490" i="6"/>
  <c r="B490" i="6"/>
  <c r="C489" i="6"/>
  <c r="B489" i="6"/>
  <c r="C488" i="6"/>
  <c r="B488" i="6"/>
  <c r="C487" i="6"/>
  <c r="B487" i="6"/>
  <c r="C485" i="6"/>
  <c r="B485" i="6"/>
  <c r="C484" i="6"/>
  <c r="B484" i="6"/>
  <c r="C483" i="6"/>
  <c r="B483" i="6"/>
  <c r="C482" i="6"/>
  <c r="B482" i="6"/>
  <c r="C481" i="6"/>
  <c r="B481" i="6"/>
  <c r="C480" i="6"/>
  <c r="B480" i="6"/>
  <c r="C473" i="6"/>
  <c r="B473" i="6"/>
  <c r="C472" i="6"/>
  <c r="B472" i="6"/>
  <c r="C471" i="6"/>
  <c r="B471" i="6"/>
  <c r="C470" i="6"/>
  <c r="B470" i="6"/>
  <c r="C469" i="6"/>
  <c r="B469" i="6"/>
  <c r="C468" i="6"/>
  <c r="B468" i="6"/>
  <c r="C467" i="6"/>
  <c r="B467" i="6"/>
  <c r="C466" i="6"/>
  <c r="B466" i="6"/>
  <c r="C465" i="6"/>
  <c r="B465" i="6"/>
  <c r="C464" i="6"/>
  <c r="B464" i="6"/>
  <c r="C463" i="6"/>
  <c r="B463" i="6"/>
  <c r="C462" i="6"/>
  <c r="B462" i="6"/>
  <c r="C461" i="6"/>
  <c r="B461" i="6"/>
  <c r="C460" i="6"/>
  <c r="B460" i="6"/>
  <c r="C459" i="6"/>
  <c r="B459" i="6"/>
  <c r="C458" i="6"/>
  <c r="B458" i="6"/>
  <c r="C457" i="6"/>
  <c r="B457" i="6"/>
  <c r="C456" i="6"/>
  <c r="B456" i="6"/>
  <c r="C455" i="6"/>
  <c r="B455" i="6"/>
  <c r="C454" i="6"/>
  <c r="B454" i="6"/>
  <c r="C453" i="6"/>
  <c r="B453" i="6"/>
  <c r="C452" i="6"/>
  <c r="B452" i="6"/>
</calcChain>
</file>

<file path=xl/sharedStrings.xml><?xml version="1.0" encoding="utf-8"?>
<sst xmlns="http://schemas.openxmlformats.org/spreadsheetml/2006/main" count="4893" uniqueCount="1447">
  <si>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</si>
  <si>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</si>
  <si>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</si>
  <si>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</si>
  <si>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</si>
  <si>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</si>
  <si>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</si>
  <si>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</si>
  <si>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</si>
  <si>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</si>
  <si>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</si>
  <si>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</si>
  <si>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</si>
  <si>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</si>
  <si>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</si>
  <si>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</si>
  <si>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</si>
  <si>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</si>
  <si>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AAV774/AAO057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</si>
  <si>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</si>
  <si>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</si>
  <si>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</si>
  <si>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</si>
  <si>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</si>
  <si>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</si>
  <si>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</si>
  <si>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</si>
  <si>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</si>
  <si>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</si>
  <si>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</si>
  <si>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</si>
  <si>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</si>
  <si>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</si>
  <si>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</si>
  <si>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</si>
  <si>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</si>
  <si>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</si>
  <si>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</si>
  <si>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</si>
  <si>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</si>
  <si>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</si>
  <si>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</si>
  <si>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</si>
  <si>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</si>
  <si>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</si>
  <si>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</si>
  <si>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</si>
  <si>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</si>
  <si>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</si>
  <si>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</si>
  <si>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</si>
  <si>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</si>
  <si>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</si>
  <si>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</si>
  <si>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</si>
  <si>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</si>
  <si>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</si>
  <si>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</si>
  <si>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</si>
  <si>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</si>
  <si>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</si>
  <si>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</si>
  <si>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</si>
  <si>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</si>
  <si>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</si>
  <si>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</si>
  <si>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</si>
  <si>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</si>
  <si>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</si>
  <si>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</si>
  <si>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</si>
  <si>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</si>
  <si>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</si>
  <si>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</si>
  <si>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</si>
  <si>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</si>
  <si>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</si>
  <si>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</si>
  <si>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</si>
  <si>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</si>
  <si>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</si>
  <si>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</si>
  <si>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</si>
  <si>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</si>
  <si>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</si>
  <si>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</si>
  <si>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</si>
  <si>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</si>
  <si>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</si>
  <si>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</si>
  <si>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</si>
  <si>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</si>
  <si>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</si>
  <si>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</si>
  <si>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</si>
  <si>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</si>
  <si>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</si>
  <si>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</si>
  <si>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</si>
  <si>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</si>
  <si>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</si>
  <si>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</si>
  <si>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</si>
  <si>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</si>
  <si>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</si>
  <si>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</si>
  <si>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</si>
  <si>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</si>
  <si>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</si>
  <si>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</si>
  <si>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CNSELEK|5|1</t>
  </si>
  <si>
    <t>Must field if documents are added</t>
  </si>
  <si>
    <t>Optional field
INTERNAL
(für Buchi)</t>
  </si>
  <si>
    <t>Document information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</si>
  <si>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</si>
  <si>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</si>
  <si>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</si>
  <si>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</si>
  <si>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</si>
  <si>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</si>
  <si>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</si>
  <si>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00001B001</t>
  </si>
  <si>
    <t>000026001</t>
  </si>
  <si>
    <t>CNS_DATASHEET_INDEX</t>
  </si>
  <si>
    <t>CNS_DATASHEET_DESCRIPTION</t>
  </si>
  <si>
    <t>Document ID (if there are more than one document for one product)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</si>
  <si>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</si>
  <si>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</si>
  <si>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</si>
  <si>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</si>
  <si>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</si>
  <si>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Parent Entity
CNSELEK|5|4Parent Class Type” (00004B001)</t>
  </si>
  <si>
    <t>CLASS 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</si>
  <si>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</si>
  <si>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</si>
  <si>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</si>
  <si>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</si>
  <si>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</si>
  <si>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</si>
  <si>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</si>
  <si>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</si>
  <si>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</si>
  <si>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</si>
  <si>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</si>
  <si>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</si>
  <si>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</si>
  <si>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</si>
  <si>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>DESCR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</si>
  <si>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</si>
  <si>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</si>
  <si>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</si>
  <si>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</si>
  <si>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</si>
  <si>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 xml:space="preserve">MD
</t>
  </si>
  <si>
    <t>MD</t>
  </si>
  <si>
    <t>BAR</t>
  </si>
  <si>
    <t>MP</t>
  </si>
  <si>
    <t>MP-Area</t>
  </si>
  <si>
    <t>GRD</t>
  </si>
  <si>
    <t>Rated Values</t>
  </si>
  <si>
    <t>ECP/GeomSpec</t>
  </si>
  <si>
    <t>Drill</t>
  </si>
  <si>
    <t>PLUG</t>
  </si>
  <si>
    <t>Plug Element (Terminal)</t>
  </si>
  <si>
    <t>Pneumatic, Hydraulic</t>
  </si>
  <si>
    <t>Actuation Vector</t>
  </si>
  <si>
    <t>ALAB / Labelling Area</t>
  </si>
  <si>
    <t>ARES / Restricted Area</t>
  </si>
  <si>
    <t>PRIO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</si>
  <si>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</si>
  <si>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</si>
  <si>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</si>
  <si>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</si>
  <si>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</si>
  <si>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</si>
  <si>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TYPE</t>
  </si>
  <si>
    <t>Project Handling</t>
  </si>
  <si>
    <t>ECLASS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</si>
  <si>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</si>
  <si>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</si>
  <si>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</si>
  <si>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</si>
  <si>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</si>
  <si>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</si>
  <si>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</si>
  <si>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</si>
  <si>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</si>
  <si>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</si>
  <si>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</si>
  <si>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</si>
  <si>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AAM479</t>
  </si>
  <si>
    <t>AAC338_SR</t>
  </si>
  <si>
    <t>AAS191</t>
  </si>
  <si>
    <t>Mounting description</t>
  </si>
  <si>
    <t>Link MD</t>
  </si>
  <si>
    <t>barred/restricted Area, Length (Y)</t>
  </si>
  <si>
    <t>barred/restricted Area, Width (X)</t>
  </si>
  <si>
    <t>barred/restricted Area, Height (Z)</t>
  </si>
  <si>
    <t>AAM654</t>
  </si>
  <si>
    <t>barred/restricted Area, Translate X</t>
  </si>
  <si>
    <t>barred/restricted Area, Translate Y</t>
  </si>
  <si>
    <t>barred/restricted Area, Translate Z</t>
  </si>
  <si>
    <t>AAN575</t>
  </si>
  <si>
    <t>AAN576</t>
  </si>
  <si>
    <t>AAN472</t>
  </si>
  <si>
    <t>AAN577</t>
  </si>
  <si>
    <t>AAN608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</si>
  <si>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</si>
  <si>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</si>
  <si>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</si>
  <si>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</si>
  <si>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</si>
  <si>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</si>
  <si>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</si>
  <si>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</si>
  <si>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</si>
  <si>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</si>
  <si>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</si>
  <si>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CNS_UOFFSET</t>
  </si>
  <si>
    <t>AAC313</t>
  </si>
  <si>
    <t>AAN413</t>
  </si>
  <si>
    <t>CNS_PARENT_CLS_ID_INST_ID</t>
  </si>
  <si>
    <t>BAH005</t>
  </si>
  <si>
    <t>AAB485</t>
  </si>
  <si>
    <t>AAB491</t>
  </si>
  <si>
    <t>AAN391</t>
  </si>
  <si>
    <t>CROSSSECTION_MIN</t>
  </si>
  <si>
    <t>CROSSSECTION_MAX</t>
  </si>
  <si>
    <t>AAS444</t>
  </si>
  <si>
    <t>CROSSSECTION_MIN_AWG</t>
  </si>
  <si>
    <t>CROSSSECTION_MAX_AWG</t>
  </si>
  <si>
    <t>AAC384</t>
  </si>
  <si>
    <t>AAN512_MIN</t>
  </si>
  <si>
    <t>AAN512_MAX</t>
  </si>
  <si>
    <t>AAN513_MIN</t>
  </si>
  <si>
    <t>AAN513_MAX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</si>
  <si>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</si>
  <si>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</si>
  <si>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</si>
  <si>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</si>
  <si>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</si>
  <si>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</si>
  <si>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</si>
  <si>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</si>
  <si>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</si>
  <si>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</si>
  <si>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</si>
  <si>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</si>
  <si>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</si>
  <si>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</si>
  <si>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</si>
  <si>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</si>
  <si>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</si>
  <si>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AAS449</t>
  </si>
  <si>
    <t>AAN476</t>
  </si>
  <si>
    <t>000005001</t>
  </si>
  <si>
    <t>00000B001</t>
  </si>
  <si>
    <t>CNS_DRILLING_ANGLE</t>
  </si>
  <si>
    <t>CNS_DRILLING_DIMENSION1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</si>
  <si>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</si>
  <si>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</si>
  <si>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</si>
  <si>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</si>
  <si>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</si>
  <si>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</si>
  <si>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</si>
  <si>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</si>
  <si>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</si>
  <si>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</si>
  <si>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</si>
  <si>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</si>
  <si>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</si>
  <si>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</si>
  <si>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</si>
  <si>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</si>
  <si>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</si>
  <si>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</si>
  <si>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</si>
  <si>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</si>
  <si>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</si>
  <si>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</si>
  <si>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</si>
  <si>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CNSATTR</t>
  </si>
  <si>
    <t>CNS_CONNECTION_DESCRIPTION</t>
  </si>
  <si>
    <t>CNS_CONNECTION_DESIGNATION</t>
  </si>
  <si>
    <t>CNS_CONNECTOR_REMOVIBLE</t>
  </si>
  <si>
    <t>CNS_SYMBOL_REFERENCE</t>
  </si>
  <si>
    <t>CNSLENGTH</t>
  </si>
  <si>
    <t>CNSWIDTH</t>
  </si>
  <si>
    <t>CNSHEIGHT</t>
  </si>
  <si>
    <t xml:space="preserve">CNS_TYPE_OF_BARRED_AREA </t>
  </si>
  <si>
    <t>CNSTRANSX</t>
  </si>
  <si>
    <t>CNSTRANSY</t>
  </si>
  <si>
    <t>CNSTRANSZ</t>
  </si>
  <si>
    <t>CNS_ATTR_NAME</t>
  </si>
  <si>
    <t>00006A001</t>
  </si>
  <si>
    <t>CNS_VARIANT_NAME</t>
  </si>
  <si>
    <t>CNS_COMPONENT_MOUNTING_TYPE</t>
  </si>
  <si>
    <t>Connection group</t>
  </si>
  <si>
    <t>Connection function</t>
  </si>
  <si>
    <t>CNS_RATED_VOLTAGE</t>
  </si>
  <si>
    <t>CNS_RATED_CURRENT</t>
  </si>
  <si>
    <t>CNS_RATED_ISOLATION_VOLTAGE</t>
  </si>
  <si>
    <t>CNS_RATING_TO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</si>
  <si>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</si>
  <si>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</si>
  <si>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</si>
  <si>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</si>
  <si>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</si>
  <si>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</si>
  <si>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</si>
  <si>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</si>
  <si>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</si>
  <si>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</si>
  <si>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</si>
  <si>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</si>
  <si>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</si>
  <si>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</si>
  <si>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00004D001</t>
  </si>
  <si>
    <t>AAQ664</t>
  </si>
  <si>
    <t>BAA561</t>
  </si>
  <si>
    <t>AAC381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</si>
  <si>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</si>
  <si>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</si>
  <si>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</si>
  <si>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</si>
  <si>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</si>
  <si>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</si>
  <si>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</si>
  <si>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</si>
  <si>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CNS_DOMAIN_OF_PLUG_CONNECTION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</si>
  <si>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</si>
  <si>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</si>
  <si>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</si>
  <si>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</si>
  <si>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</si>
  <si>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t>TEXT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</si>
  <si>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</si>
  <si>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</si>
  <si>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</si>
  <si>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</si>
  <si>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</si>
  <si>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</si>
  <si>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</si>
  <si>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</si>
  <si>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</si>
  <si>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</si>
  <si>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</si>
  <si>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</si>
  <si>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</si>
  <si>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Supported protocol
(buss-system)</t>
  </si>
  <si>
    <t>Symbol name out of the symbol library</t>
  </si>
  <si>
    <t>name of fixing variant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</si>
  <si>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</si>
  <si>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</si>
  <si>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</si>
  <si>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</si>
  <si>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</si>
  <si>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</si>
  <si>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</si>
  <si>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</si>
  <si>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</si>
  <si>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</si>
  <si>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</si>
  <si>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</si>
  <si>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</si>
  <si>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</si>
  <si>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</si>
  <si>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</si>
  <si>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</si>
  <si>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</si>
  <si>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</si>
  <si>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</si>
  <si>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</si>
  <si>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</si>
  <si>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t>offset from Connpoint in local U direction (mm)</t>
  </si>
  <si>
    <t>offset from Connpoint in local V direction (mm)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</si>
  <si>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</si>
  <si>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</si>
  <si>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Connection Point ID</t>
  </si>
  <si>
    <t>Rated Voltage</t>
  </si>
  <si>
    <t>Rated Permanent Current</t>
  </si>
  <si>
    <t>Rated Isolation Voltage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</si>
  <si>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</si>
  <si>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</si>
  <si>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</si>
  <si>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</si>
  <si>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</si>
  <si>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</si>
  <si>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</si>
  <si>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</si>
  <si>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</si>
  <si>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</si>
  <si>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</si>
  <si>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</si>
  <si>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</si>
  <si>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</si>
  <si>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</si>
  <si>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</si>
  <si>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</si>
  <si>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</si>
  <si>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</si>
  <si>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</si>
  <si>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</si>
  <si>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</si>
  <si>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</si>
  <si>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</si>
  <si>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</si>
  <si>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</si>
  <si>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</si>
  <si>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</si>
  <si>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</si>
  <si>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</si>
  <si>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</si>
  <si>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</si>
  <si>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</si>
  <si>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</si>
  <si>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</si>
  <si>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</si>
  <si>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</si>
  <si>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</si>
  <si>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</si>
  <si>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</si>
  <si>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</si>
  <si>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</si>
  <si>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</si>
  <si>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</si>
  <si>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</si>
  <si>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</si>
  <si>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</si>
  <si>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</si>
  <si>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</si>
  <si>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</si>
  <si>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</si>
  <si>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</si>
  <si>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</si>
  <si>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</si>
  <si>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</si>
  <si>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</si>
  <si>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</si>
  <si>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</si>
  <si>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</si>
  <si>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</si>
  <si>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</si>
  <si>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</si>
  <si>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</si>
  <si>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</si>
  <si>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</si>
  <si>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</si>
  <si>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</si>
  <si>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</si>
  <si>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t xml:space="preserve">Parent ID  of  Mounting Plane, etc. (e.g. "MP_4") 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</si>
  <si>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</si>
  <si>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DATA TYPE</t>
  </si>
  <si>
    <t>V</t>
  </si>
  <si>
    <t>A</t>
  </si>
  <si>
    <t>mm²</t>
  </si>
  <si>
    <t>Nm</t>
  </si>
  <si>
    <t>[°]</t>
  </si>
  <si>
    <t xml:space="preserve"> 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</si>
  <si>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</si>
  <si>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</si>
  <si>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</si>
  <si>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</si>
  <si>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</si>
  <si>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</si>
  <si>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</si>
  <si>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</si>
  <si>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</si>
  <si>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</si>
  <si>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</si>
  <si>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</si>
  <si>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</si>
  <si>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</si>
  <si>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rPr>
        <b/>
        <sz val="14"/>
        <color rgb="FF000000"/>
        <rFont val="Calibri"/>
        <family val="2"/>
        <charset val="238"/>
        <scheme val="minor"/>
      </rP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</si>
  <si>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</si>
  <si>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</si>
  <si>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</si>
  <si>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General Help Tab for values which are not completly visible in the column</t>
  </si>
  <si>
    <t>Connection point name pins</t>
  </si>
  <si>
    <t>1 - ECP_* - Electrical Connection Point</t>
  </si>
  <si>
    <t>1 - ECP - Elektrischer Anfügepunkt</t>
  </si>
  <si>
    <t>2 - OP - Orientation Point</t>
  </si>
  <si>
    <t>2 - OP - Orientierungspunkt/Ausrichtungspunkt</t>
  </si>
  <si>
    <t>3 - MD - Mounting Description</t>
  </si>
  <si>
    <t>3 - MD - Platzierungsfläche</t>
  </si>
  <si>
    <t>4 - MP - Mounting Point</t>
  </si>
  <si>
    <t>4 - MP - Anbaupunkt</t>
  </si>
  <si>
    <t>5 - PNCP_* / Pneumatic</t>
  </si>
  <si>
    <t>5 - PNCP_* / Pneumatisch</t>
  </si>
  <si>
    <t>6 - HCP_* / Hydrualic</t>
  </si>
  <si>
    <t>6 - HCP_* / Hydrualisch</t>
  </si>
  <si>
    <t>7 - MCP_* / Mechanic</t>
  </si>
  <si>
    <t>7 - MCP_* / Mechanisch</t>
  </si>
  <si>
    <t>8 - PRCP_* / Process</t>
  </si>
  <si>
    <t>8 - PRCP_* / Verfahrenstechnik</t>
  </si>
  <si>
    <t>9 - PLCP_* / Plug</t>
  </si>
  <si>
    <t>9 - PLCP_* / Stecker</t>
  </si>
  <si>
    <t>10 - DRILL</t>
  </si>
  <si>
    <t>10 - DRILL - Bohrung</t>
  </si>
  <si>
    <t>11 - BAR_* / barred</t>
  </si>
  <si>
    <t>11 - BAR_* / Sperraum</t>
  </si>
  <si>
    <t>12 - ALAB_*/ area labeling</t>
  </si>
  <si>
    <t>12 - ALAB_*/ Beschriftungsfläche</t>
  </si>
  <si>
    <t>13 - ARES_* / area restriction</t>
  </si>
  <si>
    <t>13 - ARES_* / Sperrfläche</t>
  </si>
  <si>
    <t>14 - ACTV_* / actuating vector</t>
  </si>
  <si>
    <t>14 - ACTV_* / Betätigungsvektor</t>
  </si>
  <si>
    <t>15 - GRD_* / mounting grid</t>
  </si>
  <si>
    <t>15 - GRD_* / Montagegitter</t>
  </si>
  <si>
    <t>Connection direction</t>
  </si>
  <si>
    <t>1 - from behind</t>
  </si>
  <si>
    <t>1 - von hinten</t>
  </si>
  <si>
    <t>2 - from down</t>
  </si>
  <si>
    <t>2 - von unten</t>
  </si>
  <si>
    <t>3 - from above</t>
  </si>
  <si>
    <t>3 - von oben</t>
  </si>
  <si>
    <t>4 - in front</t>
  </si>
  <si>
    <t>4 - von vorne</t>
  </si>
  <si>
    <t>5 - from left</t>
  </si>
  <si>
    <t>5 - von links</t>
  </si>
  <si>
    <t>6 - from right</t>
  </si>
  <si>
    <t>6 - von rechts</t>
  </si>
  <si>
    <t>1 - flanged</t>
  </si>
  <si>
    <t>1 - geflanscht</t>
  </si>
  <si>
    <t>2 - clamped</t>
  </si>
  <si>
    <t>2 - geklemmt</t>
  </si>
  <si>
    <t>3 - welded</t>
  </si>
  <si>
    <t>3 - geschweißt</t>
  </si>
  <si>
    <t>4 - 19 inch</t>
  </si>
  <si>
    <t>4 - 19 Zoll</t>
  </si>
  <si>
    <t>5 - Assembly</t>
  </si>
  <si>
    <t>5 - Aufbau</t>
  </si>
  <si>
    <t>6 - Base assembly</t>
  </si>
  <si>
    <t>6 - Sockelmontage</t>
  </si>
  <si>
    <t>7 - Base assembly for stop doors</t>
  </si>
  <si>
    <t>7 - Bodenmontage für Anschlagtüren</t>
  </si>
  <si>
    <t>8 - Base assembly for two-way doors</t>
  </si>
  <si>
    <t>8 - Bodenmontage für Pendeltüren</t>
  </si>
  <si>
    <t>9 - Base attachment</t>
  </si>
  <si>
    <t>9 - Bodenbefestigung</t>
  </si>
  <si>
    <t>10 - Bus bar</t>
  </si>
  <si>
    <t>10- Sammelschiene</t>
  </si>
  <si>
    <t>11 - Bus bar fastening</t>
  </si>
  <si>
    <t>11 - Sammelschienenbefestigung</t>
  </si>
  <si>
    <t>12 - continuous covered screwed</t>
  </si>
  <si>
    <t>12 - durchgehend verdeckt verschraubt</t>
  </si>
  <si>
    <t>13 - continuous one-sided covered screwed</t>
  </si>
  <si>
    <t>13 - durchgehend einseitig verdeckt verschraubt</t>
  </si>
  <si>
    <t>14 - continuous visibly screwed</t>
  </si>
  <si>
    <t>14 - durchgehend sichtbar verschraubt</t>
  </si>
  <si>
    <t>15 - cover screwed</t>
  </si>
  <si>
    <t>15 - verdeckt verschraubt</t>
  </si>
  <si>
    <t>16 - C-profile</t>
  </si>
  <si>
    <t>16 - C-Profil</t>
  </si>
  <si>
    <t>17 - DIN track</t>
  </si>
  <si>
    <t>17 - DIN-Schiene</t>
  </si>
  <si>
    <t>18 - Direct assembly</t>
  </si>
  <si>
    <t>18 - Direktmontage</t>
  </si>
  <si>
    <t>19 - Direct extension</t>
  </si>
  <si>
    <t>19 - Direktanbau</t>
  </si>
  <si>
    <t>20 - Direct mounting/individual installation</t>
  </si>
  <si>
    <t>20 - Direktanbau/Einzelaufstellung</t>
  </si>
  <si>
    <t>21 - Doorframe assembly</t>
  </si>
  <si>
    <t>21 - Türrahmenmontage</t>
  </si>
  <si>
    <t>22 - doorframe assembly/hinge side</t>
  </si>
  <si>
    <t>22 - Türrahmenmontage / Bandseite</t>
  </si>
  <si>
    <t>23 - doorframe assembly/opposite to hinge side</t>
  </si>
  <si>
    <t>23 - Türrahmenmontage / Bandgegenseite</t>
  </si>
  <si>
    <t>24 - door hinge mounting/hinge side</t>
  </si>
  <si>
    <t>24 - Türblattmontage / Bandseite</t>
  </si>
  <si>
    <t>25 - door hinge mounting/opposite to hinge side</t>
  </si>
  <si>
    <t>25 - Türblattmontage / Bandgegenseite</t>
  </si>
  <si>
    <t>26 - Door leaf mounting</t>
  </si>
  <si>
    <t>26 - Türblattmontage</t>
  </si>
  <si>
    <t>27 - Flange</t>
  </si>
  <si>
    <t>27 - Flansch</t>
  </si>
  <si>
    <t>28 - Foot assembly</t>
  </si>
  <si>
    <t>28 - Fußmontage</t>
  </si>
  <si>
    <t>29 - Front assembly</t>
  </si>
  <si>
    <t>29 - Frontmontage</t>
  </si>
  <si>
    <t>30 - front attachment</t>
  </si>
  <si>
    <t>30 - Frontbefestigung</t>
  </si>
  <si>
    <t>31 - G track G32</t>
  </si>
  <si>
    <t>31 - G-Schiene G32</t>
  </si>
  <si>
    <t>32 - Inserted</t>
  </si>
  <si>
    <t>32 - eingesetzt</t>
  </si>
  <si>
    <t>33 - Installation</t>
  </si>
  <si>
    <t>33 - Einbau</t>
  </si>
  <si>
    <t>34 - integrable</t>
  </si>
  <si>
    <t>34 - integrierbar</t>
  </si>
  <si>
    <t>35 - Metric</t>
  </si>
  <si>
    <t>35 - metrisch</t>
  </si>
  <si>
    <t>36 - Mountable and integrable</t>
  </si>
  <si>
    <t>36 - aufsteckbar und integrierbar</t>
  </si>
  <si>
    <t>37 - Mounted</t>
  </si>
  <si>
    <t>37 - Anbau</t>
  </si>
  <si>
    <t>38 - Mounting face</t>
  </si>
  <si>
    <t>38 - Montagefläche</t>
  </si>
  <si>
    <t>39 - Parallel assembly</t>
  </si>
  <si>
    <t>39 - Parallelarmmontage</t>
  </si>
  <si>
    <t>40 - Pinned</t>
  </si>
  <si>
    <t>40 - verstiftet</t>
  </si>
  <si>
    <t>41 - pluggable</t>
  </si>
  <si>
    <t>41 - aufsteckbar</t>
  </si>
  <si>
    <t>42 - pluggable</t>
  </si>
  <si>
    <t>42 - steckbar</t>
  </si>
  <si>
    <t>43 - plug in module</t>
  </si>
  <si>
    <t>43 - Einschub</t>
  </si>
  <si>
    <t>44 - Plug insert</t>
  </si>
  <si>
    <t>44 - Steckeinsatz</t>
  </si>
  <si>
    <t>45 - Pushed-through</t>
  </si>
  <si>
    <t>45 - durchgesteckt</t>
  </si>
  <si>
    <t>46 - quick fastening</t>
  </si>
  <si>
    <t>46 - Schnellbefestigung</t>
  </si>
  <si>
    <t>47 - Rail/direct mounted</t>
  </si>
  <si>
    <t>47 - Schienen-/Direktmontage</t>
  </si>
  <si>
    <t>48 - screwable</t>
  </si>
  <si>
    <t>48 - schraubbar</t>
  </si>
  <si>
    <t>49 - Screwed</t>
  </si>
  <si>
    <t>49 - verschraubt</t>
  </si>
  <si>
    <t>50 - Screw mounting</t>
  </si>
  <si>
    <t>50 - Schraubbefestigung</t>
  </si>
  <si>
    <t>51 - Side extension</t>
  </si>
  <si>
    <t>51 - Seitenanbau</t>
  </si>
  <si>
    <t>52 - Single installation</t>
  </si>
  <si>
    <t>52 - Einzelaufstellung</t>
  </si>
  <si>
    <t>53 - Snap-mounted supporting rail</t>
  </si>
  <si>
    <t>53 - Schnappbefestigung Tragschiene</t>
  </si>
  <si>
    <t>54 - Snap-on mounting</t>
  </si>
  <si>
    <t>54 - Schnappbefestigung</t>
  </si>
  <si>
    <t>55 - Socket</t>
  </si>
  <si>
    <t>55 - Steckdose</t>
  </si>
  <si>
    <t>56 - Special assembly</t>
  </si>
  <si>
    <t>56 - Sondermontage</t>
  </si>
  <si>
    <t>57 - Special profiles</t>
  </si>
  <si>
    <t>57 - Sonderprofile</t>
  </si>
  <si>
    <t>58 - Surface mounted</t>
  </si>
  <si>
    <t>58 - Oberflächenmontage</t>
  </si>
  <si>
    <t>59 - Terminal mount</t>
  </si>
  <si>
    <t>59 - Klemmbefestigung</t>
  </si>
  <si>
    <t>60 - Top-hat/g-rail TH35/G32</t>
  </si>
  <si>
    <t>60 - Hut-/G-Schiene TH35/G32</t>
  </si>
  <si>
    <t>61 - Top-hat rail TH15</t>
  </si>
  <si>
    <t>61 - Hutschiene TH15</t>
  </si>
  <si>
    <t>62 - Top-hat rail TH35</t>
  </si>
  <si>
    <t>62 - Hutschiene TH35</t>
  </si>
  <si>
    <t>63 - Top-hat rail TH75</t>
  </si>
  <si>
    <t>63 - Hutschiene TH75</t>
  </si>
  <si>
    <t>64 - visibly screwed</t>
  </si>
  <si>
    <t>64 - sichtbar verschraubt</t>
  </si>
  <si>
    <t>65 - Wall mounting</t>
  </si>
  <si>
    <t>65 - Wandbefestigung</t>
  </si>
  <si>
    <t>66 - with cams</t>
  </si>
  <si>
    <t>66 - mit Nocken</t>
  </si>
  <si>
    <t>67 - With holder</t>
  </si>
  <si>
    <t>67 - mit Halterung</t>
  </si>
  <si>
    <t>68 - without cams</t>
  </si>
  <si>
    <t>68 - ohne Nocken</t>
  </si>
  <si>
    <t>69 - Wall assembly</t>
  </si>
  <si>
    <t>69 - Wandmontage</t>
  </si>
  <si>
    <t>70 - DIN rail mounting</t>
  </si>
  <si>
    <t>70 - DIN Hutschienenmontage</t>
  </si>
  <si>
    <t>1 - Collektor</t>
  </si>
  <si>
    <t>1 - Kollektor</t>
  </si>
  <si>
    <t>2 - Common contact</t>
  </si>
  <si>
    <t>2 - gemeinsamer Kact</t>
  </si>
  <si>
    <t>3 - Contact normally close</t>
  </si>
  <si>
    <t>3 - Öffnerkontaktmally close</t>
  </si>
  <si>
    <t>4 - Contact normally open</t>
  </si>
  <si>
    <t>4 - Schließerkontmally open</t>
  </si>
  <si>
    <t>5 - Drain</t>
  </si>
  <si>
    <t>6 - Emitter</t>
  </si>
  <si>
    <t>7 - GND</t>
  </si>
  <si>
    <t>8 - load input</t>
  </si>
  <si>
    <t>8 - Lasteingang</t>
  </si>
  <si>
    <t>9 - load output</t>
  </si>
  <si>
    <t>9 - Lastausgang</t>
  </si>
  <si>
    <t>10 - main circuit</t>
  </si>
  <si>
    <t>10 - Hauptstromkreis</t>
  </si>
  <si>
    <t>11 - neutral conductor</t>
  </si>
  <si>
    <t>11 - Neutralleiter</t>
  </si>
  <si>
    <t>12 - protective conductor</t>
  </si>
  <si>
    <t>12 - Schutzleiter</t>
  </si>
  <si>
    <t>13 - shield</t>
  </si>
  <si>
    <t>13 - Schirm</t>
  </si>
  <si>
    <t>14 - signal input</t>
  </si>
  <si>
    <t>14 - Signaleingang</t>
  </si>
  <si>
    <t>15 - signal output</t>
  </si>
  <si>
    <t>15 - Signalausgang</t>
  </si>
  <si>
    <t>16 - Source</t>
  </si>
  <si>
    <t>17 - supply voltage</t>
  </si>
  <si>
    <t>17 - Versorgungsspan</t>
  </si>
  <si>
    <t>18 - Connection</t>
  </si>
  <si>
    <t>18 - Verbindung</t>
  </si>
  <si>
    <t>19 - equipotential bounding conductor</t>
  </si>
  <si>
    <t>19 - Potentialausgle</t>
  </si>
  <si>
    <t>20 - earthing conductor</t>
  </si>
  <si>
    <t>20 - Erdungsleiter</t>
  </si>
  <si>
    <t>21 - device-specific</t>
  </si>
  <si>
    <t>21 - gerätespezifisc</t>
  </si>
  <si>
    <t>22 - Terminal level 1</t>
  </si>
  <si>
    <t>22 - Etage 1</t>
  </si>
  <si>
    <t>23 - Terminal level 2</t>
  </si>
  <si>
    <t>23 - Etage 2</t>
  </si>
  <si>
    <t>24 - Terminal level 3</t>
  </si>
  <si>
    <t>24 - Etage 3</t>
  </si>
  <si>
    <t>25 - Terminal level 4</t>
  </si>
  <si>
    <t>25 - Etage 4</t>
  </si>
  <si>
    <t>26 -Terminal  level 5</t>
  </si>
  <si>
    <t>26 - Etage 5</t>
  </si>
  <si>
    <t>27 -Terminal  level 6</t>
  </si>
  <si>
    <t>27 - Etage 6</t>
  </si>
  <si>
    <t>28 - Terminal level 7</t>
  </si>
  <si>
    <t>28 - Etage 7</t>
  </si>
  <si>
    <t>29 - Terminal level 8</t>
  </si>
  <si>
    <t>29 - Etage 8</t>
  </si>
  <si>
    <t>30 - Terminal level 9</t>
  </si>
  <si>
    <t>30 - Etage 9</t>
  </si>
  <si>
    <t>CROSSSAWGMIN</t>
  </si>
  <si>
    <t>(2/0)</t>
  </si>
  <si>
    <t>(3/0)</t>
  </si>
  <si>
    <t>(4/0)</t>
  </si>
  <si>
    <t>No Input</t>
  </si>
  <si>
    <t>CROSSSAWGMAX</t>
  </si>
  <si>
    <t>drilling type</t>
  </si>
  <si>
    <t>1 - Hole</t>
  </si>
  <si>
    <t>1 - Loch</t>
  </si>
  <si>
    <t>2 - thread inch</t>
  </si>
  <si>
    <t>2 - Gewinde inch</t>
  </si>
  <si>
    <t>3 - thread metric</t>
  </si>
  <si>
    <t>3 - Gewinde metrisch</t>
  </si>
  <si>
    <t>drilling_subtype</t>
  </si>
  <si>
    <t>1 - Round</t>
  </si>
  <si>
    <t>1 - Rund</t>
  </si>
  <si>
    <t>2 - Rectangular</t>
  </si>
  <si>
    <t>2 - Rechteckig</t>
  </si>
  <si>
    <t>3 - Long-hole type</t>
  </si>
  <si>
    <t>3 - Langlochartig</t>
  </si>
  <si>
    <t>4 - Polyangular</t>
  </si>
  <si>
    <t>1 - Plastic</t>
  </si>
  <si>
    <t>1 - Kunststoff</t>
  </si>
  <si>
    <t>Material / CNS_ELECTRO_MATERIAL</t>
  </si>
  <si>
    <t>2 - GRP</t>
  </si>
  <si>
    <t>2 - GFK</t>
  </si>
  <si>
    <t>3 - PVC</t>
  </si>
  <si>
    <t>4 - galvanic/electrolytic zinc plated</t>
  </si>
  <si>
    <t>5 - Polystyrene (PS)</t>
  </si>
  <si>
    <t>6 - ABS</t>
  </si>
  <si>
    <t>7 - Acrylic</t>
  </si>
  <si>
    <t>7 - Acryl</t>
  </si>
  <si>
    <t>8 - Agate</t>
  </si>
  <si>
    <t>8 - Achat</t>
  </si>
  <si>
    <t>9 - Aluminium die casting</t>
  </si>
  <si>
    <t>9 - Aluminiumdruckguss</t>
  </si>
  <si>
    <t>10 - Aluminum cast</t>
  </si>
  <si>
    <t>10 - Aluminium-Guss</t>
  </si>
  <si>
    <t>11 - Aluminum zink</t>
  </si>
  <si>
    <t>11 - Aluminium-Zink</t>
  </si>
  <si>
    <t>12 - Aluminum, lacquered</t>
  </si>
  <si>
    <t>12 - Aluminium lackiert</t>
  </si>
  <si>
    <t>13 - Brass CU2 (CuZn37) or brass CU3 (CuZn39Pb3)</t>
  </si>
  <si>
    <t>13 - Messing CU2 (CuZn37) oder Messing CU3 (CuZn39Pb3)</t>
  </si>
  <si>
    <t>14 - C22</t>
  </si>
  <si>
    <t>15 - C22 nickel-plated</t>
  </si>
  <si>
    <t>15 - C22, Vernickelt</t>
  </si>
  <si>
    <t>16 - C22.8</t>
  </si>
  <si>
    <t>17 - cast</t>
  </si>
  <si>
    <t>17 - Guss</t>
  </si>
  <si>
    <t>18 - Cast iron</t>
  </si>
  <si>
    <t>18 - Gusseisen</t>
  </si>
  <si>
    <t>19 - Copper</t>
  </si>
  <si>
    <t>19 - Kupfer</t>
  </si>
  <si>
    <t>20 - PE-HD</t>
  </si>
  <si>
    <t>21 - perfluoroalkoxy polymere (PFA)</t>
  </si>
  <si>
    <t>21 - Perfluoralkoxy Polymer (PFA)</t>
  </si>
  <si>
    <t>22 - Porcelain</t>
  </si>
  <si>
    <t>22 - Porzellan</t>
  </si>
  <si>
    <t>23 - PTFE</t>
  </si>
  <si>
    <t>24 - stainless steel - 1.4581</t>
  </si>
  <si>
    <t>24 - Edelstahl - 1.4581</t>
  </si>
  <si>
    <t>25 - Stainless steel inverted cast</t>
  </si>
  <si>
    <t>25 - Edelstahlfeinguss</t>
  </si>
  <si>
    <t>26 - Steel casting</t>
  </si>
  <si>
    <t>26 - Stahlguss</t>
  </si>
  <si>
    <t>27 - Steel, coated</t>
  </si>
  <si>
    <t>27 - Stahl, beschichtet</t>
  </si>
  <si>
    <t>28 - Steel, galvanized</t>
  </si>
  <si>
    <t>28 - Stahl, galvanisch verzinkt</t>
  </si>
  <si>
    <t>29 - Steel, highly non-corrosive</t>
  </si>
  <si>
    <t>29 - Stahl, hochkorrosionsbestÃ¤ndig</t>
  </si>
  <si>
    <t>30 - Steel, hot-dip galvanized</t>
  </si>
  <si>
    <t>30 - Stahl, feuerverzinkt</t>
  </si>
  <si>
    <t>31 - Steel, non-rust (stainless steel)</t>
  </si>
  <si>
    <t>31 - Stahl, nichtrostend (Edelstahl rostfrei)</t>
  </si>
  <si>
    <t>32 - Steel, sherardised</t>
  </si>
  <si>
    <t>32 - Stahl, sherardisiert</t>
  </si>
  <si>
    <t>33 - Tempering Stahl</t>
  </si>
  <si>
    <t>33 - VergÃ¼tungsstahl</t>
  </si>
  <si>
    <t>34 - thermoplastic elastomers (TPE)</t>
  </si>
  <si>
    <t>34 - Thermoplastische Elastomere (TPE)</t>
  </si>
  <si>
    <t>35 - thermoplastic polyurethan-elastomers (TPU)</t>
  </si>
  <si>
    <t>35 - Thermoplastische Polyurethan-Elastomere (TPU)</t>
  </si>
  <si>
    <t>36 - Ultrahigh molecular polyethylene</t>
  </si>
  <si>
    <t>36 - Ultrahochmolekulares Polyethylen</t>
  </si>
  <si>
    <t>37 - White malleable cast iron</t>
  </si>
  <si>
    <t>37 - Temperguss</t>
  </si>
  <si>
    <t>38 - AlMgSi</t>
  </si>
  <si>
    <t>39 - aluminum</t>
  </si>
  <si>
    <t>39 - Aluminium</t>
  </si>
  <si>
    <t>40 - Brass</t>
  </si>
  <si>
    <t>40 - Messing</t>
  </si>
  <si>
    <t>41 - brass nickel-plated</t>
  </si>
  <si>
    <t>41 - Messing vernickelt</t>
  </si>
  <si>
    <t>42 - die-cast steel</t>
  </si>
  <si>
    <t>42 - Stahl-Druckguss</t>
  </si>
  <si>
    <t>43 - die-casting</t>
  </si>
  <si>
    <t>43 - Spritzguss</t>
  </si>
  <si>
    <t>44 - fluoro-ethylene-propylene rubber (FEP)</t>
  </si>
  <si>
    <t>44 - Fluor-Ethylen-Propylen Kunststoff (FEP)</t>
  </si>
  <si>
    <t>45 - Grey cast iron</t>
  </si>
  <si>
    <t>45 - Grauguss</t>
  </si>
  <si>
    <t>46 - Hastelloy C-22 - 2.4602</t>
  </si>
  <si>
    <t>47 - Hastelloy C-4 (2.4610)</t>
  </si>
  <si>
    <t>48 - Metalized plastic</t>
  </si>
  <si>
    <t>48 - Kunststoff metallisiert</t>
  </si>
  <si>
    <t>49 - Polyamide (PA)</t>
  </si>
  <si>
    <t>49 - Polyamid (PA)</t>
  </si>
  <si>
    <t>50 - polymethylmethacrylate (PMMA)</t>
  </si>
  <si>
    <t>50 - Polymethylmethacrylat (PMMA)</t>
  </si>
  <si>
    <t>51 - PTFE/FEP</t>
  </si>
  <si>
    <t>52 - stainless steel</t>
  </si>
  <si>
    <t>52 - rostfreier Stahl</t>
  </si>
  <si>
    <t>53 - Steel</t>
  </si>
  <si>
    <t>53 - Stahl</t>
  </si>
  <si>
    <t>54 - steel plate/plastic</t>
  </si>
  <si>
    <t>54 - Stahlblech/Kunststoff</t>
  </si>
  <si>
    <t>55 - Zink</t>
  </si>
  <si>
    <t>56 - Zink print cast</t>
  </si>
  <si>
    <t>56 - Zink-Druckguss</t>
  </si>
  <si>
    <t>57 - Ceramic</t>
  </si>
  <si>
    <t>57 - Keramik</t>
  </si>
  <si>
    <t>58 - Duroplastic</t>
  </si>
  <si>
    <t>58 - Duroplast</t>
  </si>
  <si>
    <t>59 - Polyamide</t>
  </si>
  <si>
    <t>59 - Polyamid</t>
  </si>
  <si>
    <t>60 - Thermoplast</t>
  </si>
  <si>
    <t>61 - PE</t>
  </si>
  <si>
    <t>1 - undefined</t>
  </si>
  <si>
    <t>1 - undefiniert</t>
  </si>
  <si>
    <t>Potential type</t>
  </si>
  <si>
    <t>2 - L</t>
  </si>
  <si>
    <t>3 - N</t>
  </si>
  <si>
    <t>4 - PE</t>
  </si>
  <si>
    <t>5 - +</t>
  </si>
  <si>
    <t>6 - M</t>
  </si>
  <si>
    <t>7 - -</t>
  </si>
  <si>
    <t>8 - SH</t>
  </si>
  <si>
    <t>9 - PEN</t>
  </si>
  <si>
    <t>1 - SH_1</t>
  </si>
  <si>
    <t>Shielded by</t>
  </si>
  <si>
    <t>2 - SH_2</t>
  </si>
  <si>
    <t>3 - SH_3</t>
  </si>
  <si>
    <t>4 - SH_4</t>
  </si>
  <si>
    <t>5 - SH_5</t>
  </si>
  <si>
    <t>6 - SH_6</t>
  </si>
  <si>
    <t>7 - SH_7</t>
  </si>
  <si>
    <t>1 - Door</t>
  </si>
  <si>
    <t>2 - Door left</t>
  </si>
  <si>
    <t>3 - Door right</t>
  </si>
  <si>
    <t>4 - Floor</t>
  </si>
  <si>
    <t>5 - Mounting panel back</t>
  </si>
  <si>
    <t>6 - Area floor sheets</t>
  </si>
  <si>
    <t>7 - Floor sheet outside</t>
  </si>
  <si>
    <t>8 - Floor sheet inside</t>
  </si>
  <si>
    <t>9 - Door inside</t>
  </si>
  <si>
    <t>10 - Door left inside</t>
  </si>
  <si>
    <t>11 - Door left outside</t>
  </si>
  <si>
    <t>12 - Door outside</t>
  </si>
  <si>
    <t>13 - Door right inside</t>
  </si>
  <si>
    <t>14 - Door right outside</t>
  </si>
  <si>
    <t>15 - Flange plate outside</t>
  </si>
  <si>
    <t>16 - Flange plate inside</t>
  </si>
  <si>
    <t>17 - Mounting panel front</t>
  </si>
  <si>
    <t>18 - Mounting surface NC front</t>
  </si>
  <si>
    <t>19 - Profile level</t>
  </si>
  <si>
    <t>20 - 19-inch profile level</t>
  </si>
  <si>
    <t>21 - Profile level back inside</t>
  </si>
  <si>
    <t>22 - Profile level back outside</t>
  </si>
  <si>
    <t>23 - Profile level back inside vertical</t>
  </si>
  <si>
    <t>24 - Profile level floor inside</t>
  </si>
  <si>
    <t>25 - Profile level door</t>
  </si>
  <si>
    <t>26 - Profile level door left</t>
  </si>
  <si>
    <t>27 - Profile level door right</t>
  </si>
  <si>
    <t>28 - Profile level front inside</t>
  </si>
  <si>
    <t>29 - Profile level front outside</t>
  </si>
  <si>
    <t>30 - Profile level front inside vertical</t>
  </si>
  <si>
    <t>31 - Profile level left inside</t>
  </si>
  <si>
    <t>32 - Profile level left outside</t>
  </si>
  <si>
    <t>33 - Profile level left inside vertical</t>
  </si>
  <si>
    <t>34 - Profile level right inside</t>
  </si>
  <si>
    <t>35 - Profile level right outside</t>
  </si>
  <si>
    <t>36 - Profile level right inside vertical</t>
  </si>
  <si>
    <t>37 - Profile level cover inside</t>
  </si>
  <si>
    <t>38 - Rear panel inside</t>
  </si>
  <si>
    <t>39 - Rear panel outside</t>
  </si>
  <si>
    <t>40 - Floor inside</t>
  </si>
  <si>
    <t>41 - Floor outside</t>
  </si>
  <si>
    <t>42 - Panel inside</t>
  </si>
  <si>
    <t>43 - Side panel left inside</t>
  </si>
  <si>
    <t>44 - Side panel left outside</t>
  </si>
  <si>
    <t>45 - Panel outside</t>
  </si>
  <si>
    <t>46 - Side panel right inside</t>
  </si>
  <si>
    <t>47 - Side panel right outside</t>
  </si>
  <si>
    <t>48 - Cover inside</t>
  </si>
  <si>
    <t>49 - Cover outside</t>
  </si>
  <si>
    <t>50 - Frame profile - general</t>
  </si>
  <si>
    <t>51 - Frame profile horizontal</t>
  </si>
  <si>
    <t>52 - Frame profile horizontal floor</t>
  </si>
  <si>
    <t>53 - Frame profile horizontal cover</t>
  </si>
  <si>
    <t>54 - Frame profile vertical left front</t>
  </si>
  <si>
    <t>55 - Frame profile vertical back</t>
  </si>
  <si>
    <t>56 - Frame profile vertical right back</t>
  </si>
  <si>
    <t>57 - Frame profile vertical right front</t>
  </si>
  <si>
    <t>58 - Roof plate</t>
  </si>
  <si>
    <t>59 - Unknown</t>
  </si>
  <si>
    <t>60 - Rear panel</t>
  </si>
  <si>
    <t>61 - Panel general</t>
  </si>
  <si>
    <t>62 - Side panel left</t>
  </si>
  <si>
    <t>63 - Side panel right</t>
  </si>
  <si>
    <t>1 - Restricted placing area</t>
  </si>
  <si>
    <t>1 - Platziersperrfläche</t>
  </si>
  <si>
    <t>2 - Restricted drilling area</t>
  </si>
  <si>
    <t xml:space="preserve">2 - Bohrsperrfläche </t>
  </si>
  <si>
    <t>3 - Restricted routing range</t>
  </si>
  <si>
    <t>3 - Verlegesperrbereich</t>
  </si>
  <si>
    <t>Component Function 3D</t>
  </si>
  <si>
    <t>4 - Floor;Floor;Floor</t>
  </si>
  <si>
    <t>48 - Cover inside;Cover inside</t>
  </si>
  <si>
    <t>1 - Device</t>
  </si>
  <si>
    <t>explicit component type</t>
  </si>
  <si>
    <t>2 - Dynamic Device</t>
  </si>
  <si>
    <t>3 - Terminal</t>
  </si>
  <si>
    <t>4 - Connector</t>
  </si>
  <si>
    <t>5 - Connector With Inserts</t>
  </si>
  <si>
    <t>6 - Device Wire Seal</t>
  </si>
  <si>
    <t>7 - Device Blind Plug</t>
  </si>
  <si>
    <t>8 - Assembly</t>
  </si>
  <si>
    <t>9 - Assembly Enclosure</t>
  </si>
  <si>
    <t>10 - Assembly Configuration</t>
  </si>
  <si>
    <t>11 - Device Rail</t>
  </si>
  <si>
    <t>12 - Terminal End Cover</t>
  </si>
  <si>
    <t>13 - Terminal Partition Plate</t>
  </si>
  <si>
    <t>14 - Terminal End Bracket</t>
  </si>
  <si>
    <t>1- Polygon</t>
  </si>
  <si>
    <t>2- Ring-shaped</t>
  </si>
  <si>
    <t>2- Ringförmig</t>
  </si>
  <si>
    <t>2- Round</t>
  </si>
  <si>
    <t>2- Rund</t>
  </si>
  <si>
    <t>3- Rectangular</t>
  </si>
  <si>
    <t>2- Rechteckig</t>
  </si>
  <si>
    <t>CNS_TYPE_OF_BARRED_AREA Type</t>
  </si>
  <si>
    <t>Example</t>
  </si>
  <si>
    <t>Subcircuit Mapping</t>
  </si>
  <si>
    <t>Must field if available, if not created from ECADPORT</t>
  </si>
  <si>
    <t>Product main group</t>
  </si>
  <si>
    <t>REFERENCE_FEATURE_GROUP_ID</t>
  </si>
  <si>
    <t>REFERENCE_FEATURE_SYSTEM_NAME</t>
  </si>
  <si>
    <t>AAB401</t>
  </si>
  <si>
    <t>AAB451</t>
  </si>
  <si>
    <t>AAB644</t>
  </si>
  <si>
    <t>AAB681</t>
  </si>
  <si>
    <t>AAB770</t>
  </si>
  <si>
    <t>AAC054</t>
  </si>
  <si>
    <t>AAC218</t>
  </si>
  <si>
    <t>AAC265</t>
  </si>
  <si>
    <t>AAC929</t>
  </si>
  <si>
    <t>AAE670</t>
  </si>
  <si>
    <t>AAF507</t>
  </si>
  <si>
    <t>AAF508</t>
  </si>
  <si>
    <t>AAG021</t>
  </si>
  <si>
    <t>AAM117</t>
  </si>
  <si>
    <t>AAM272</t>
  </si>
  <si>
    <t>AAM354</t>
  </si>
  <si>
    <t>AAO187</t>
  </si>
  <si>
    <t>AAO188</t>
  </si>
  <si>
    <t>AAO189</t>
  </si>
  <si>
    <t>AAO190</t>
  </si>
  <si>
    <t>AAO191</t>
  </si>
  <si>
    <t>AAO193</t>
  </si>
  <si>
    <t>AAP428</t>
  </si>
  <si>
    <t>AAP429</t>
  </si>
  <si>
    <t>AAP542</t>
  </si>
  <si>
    <t>AAS577</t>
  </si>
  <si>
    <t>AAW361</t>
  </si>
  <si>
    <t>AAZ486</t>
  </si>
  <si>
    <t>BAA105</t>
  </si>
  <si>
    <t>BAA351</t>
  </si>
  <si>
    <t>BAB664</t>
  </si>
  <si>
    <t>BAC295</t>
  </si>
  <si>
    <t>BAD288</t>
  </si>
  <si>
    <t>BAD290</t>
  </si>
  <si>
    <t>BAD307</t>
  </si>
  <si>
    <t>BAD308</t>
  </si>
  <si>
    <t>BAD674</t>
  </si>
  <si>
    <t>BAD715</t>
  </si>
  <si>
    <t>BAE765</t>
  </si>
  <si>
    <t>BAF634</t>
  </si>
  <si>
    <t>BAF728</t>
  </si>
  <si>
    <t>BAF785</t>
  </si>
  <si>
    <t>BAG975</t>
  </si>
  <si>
    <t>BAH439</t>
  </si>
  <si>
    <t>BAH443</t>
  </si>
  <si>
    <r>
      <t xml:space="preserve">ECLASS number 
</t>
    </r>
    <r>
      <rPr>
        <sz val="14"/>
        <color theme="1"/>
        <rFont val="Calibri"/>
        <family val="2"/>
        <scheme val="minor"/>
      </rPr>
      <t>27-18-01-**
27-18-07-01</t>
    </r>
    <r>
      <rPr>
        <b/>
        <sz val="14"/>
        <color theme="1"/>
        <rFont val="Calibri"/>
        <family val="2"/>
        <scheme val="minor"/>
      </rPr>
      <t xml:space="preserve">                                                  </t>
    </r>
  </si>
  <si>
    <t>ECLASS number (up to the current version)</t>
  </si>
  <si>
    <t>product article number of manufacturer (string)</t>
  </si>
  <si>
    <t>Design of the 19 Inch cabinet (string)</t>
  </si>
  <si>
    <r>
      <t xml:space="preserve">type of mounting
</t>
    </r>
    <r>
      <rPr>
        <sz val="14"/>
        <color theme="1"/>
        <rFont val="Calibri"/>
        <family val="2"/>
        <scheme val="minor"/>
      </rPr>
      <t>1 - slide (before mounting)
2 - for distance mounting
3 - Mounting flange
4 - Velco type
5 - 10 inch
6 - 10 Inch
7 - 17 inch
8 - 19 inch/24 inch
9 - 19 inch / 24 inch
10 - 21 inch
11 - 23 inch
…</t>
    </r>
  </si>
  <si>
    <t>Frame, shelf (accumulated)
1 - No
2 - Yes</t>
  </si>
  <si>
    <t>suitable for metric installation
1 - No
2 - Yes</t>
  </si>
  <si>
    <t>Lighting installation, device
1 - No
2 - Yes</t>
  </si>
  <si>
    <t>Mounting plate adjustable in depth
1 - No
2 - Yes</t>
  </si>
  <si>
    <t>EMC design present
1 - No
2 - Yes</t>
  </si>
  <si>
    <t>back door present
1 - No
2 - Yes</t>
  </si>
  <si>
    <t>Number of doors (integer)</t>
  </si>
  <si>
    <t>additional link address
(string)</t>
  </si>
  <si>
    <t>REACH registration present
1 - No
2 - Yes</t>
  </si>
  <si>
    <t>Contains substance according to SVHC
1 - No
2 - Yes</t>
  </si>
  <si>
    <r>
      <t xml:space="preserve">impact strength
</t>
    </r>
    <r>
      <rPr>
        <sz val="14"/>
        <color theme="1"/>
        <rFont val="Calibri"/>
        <family val="2"/>
        <scheme val="minor"/>
      </rPr>
      <t>1 - &gt;IK10	1 - &gt;IK10
2 - Miscellaneous	2 - Sonstiges
3 - IK00	3 - IK00
4 - average (class 3)	4 - mittel (Klasse 3)
5 - heavy (class 4)	5 - schwer (Klasse 4)
6 - IK01	6 - IK01
7 - IK02	7 - IK02
8 - IK03	8 - IK03
9 - IK04	9 - IK04
10 - IK05	10 - IK05
...</t>
    </r>
  </si>
  <si>
    <t>glazed door present
1 - No
2 - Yes</t>
  </si>
  <si>
    <t>wall build in possible
1 - No
2 - Yes</t>
  </si>
  <si>
    <t>tackable possible
1 - No
2 - Yes</t>
  </si>
  <si>
    <t>Name of SVHC substance (string)</t>
  </si>
  <si>
    <t>Weight percentage of the contained substance (SVHC)</t>
  </si>
  <si>
    <t>On-line reference REACH (string)</t>
  </si>
  <si>
    <t>On-line reference security data sheet (string)</t>
  </si>
  <si>
    <t>RoHS attention of conformity
1 - No
2 - Yes</t>
  </si>
  <si>
    <r>
      <t xml:space="preserve">Category
</t>
    </r>
    <r>
      <rPr>
        <sz val="14"/>
        <color theme="1"/>
        <rFont val="Calibri"/>
        <family val="2"/>
        <scheme val="minor"/>
      </rPr>
      <t xml:space="preserve">1 - Device batteries, primarily
2 - Device batteries,secondarily
3 - Industriebatterien und -akkumulatoren
4 - Vehicle batteries and vehicle accumulators
</t>
    </r>
  </si>
  <si>
    <t>Number of doors back
(integer)</t>
  </si>
  <si>
    <t>Number of doors front
(integer)</t>
  </si>
  <si>
    <t>Number of locks (integer)</t>
  </si>
  <si>
    <t>address of additional link (string)</t>
  </si>
  <si>
    <t>Power loss output capacity [Ple]</t>
  </si>
  <si>
    <t>Color number according to RAL (integer)</t>
  </si>
  <si>
    <r>
      <t xml:space="preserve">protection type (NEMA)
</t>
    </r>
    <r>
      <rPr>
        <sz val="14"/>
        <color theme="1"/>
        <rFont val="Calibri"/>
        <family val="2"/>
        <scheme val="minor"/>
      </rPr>
      <t>1 - NEMA 1
2 - NEMA 2
3 - NEMA 3
4 - NEMA 3R
5 - NEMA 3S
6 - NEMA 3X
7 - NEMA 3RX
8 - NEMA 3SX
9 - NEMA 4
10 - NEMA 4X
11 - NEMA 5
12 - NEMA 6
13 - NEMA 6P
…</t>
    </r>
  </si>
  <si>
    <r>
      <t xml:space="preserve">Degree of protection (NEMA)
</t>
    </r>
    <r>
      <rPr>
        <sz val="14"/>
        <color theme="1"/>
        <rFont val="Calibri"/>
        <family val="2"/>
        <scheme val="minor"/>
      </rPr>
      <t xml:space="preserve">1 - NEMA 3, 4, 7, 9
2 - NEMA 3, 4, 12
3 - NEMA 7, 9
4 - NEMA 1, 2, 3R, 12, 13
5 - NEMA 1, 4X, 12K, Indoor use only, 13
6 - NEMA 1, 2, 3, 3R, 4, 4X, 12K, 13
7 - NEMA 1, 2, 3, 3R, 4, 4X, 12, 13
8 - NEMA 1, 2, 3, 3R, 4, 4X, 12K
...
</t>
    </r>
  </si>
  <si>
    <r>
      <t xml:space="preserve">color
</t>
    </r>
    <r>
      <rPr>
        <sz val="14"/>
        <color theme="1"/>
        <rFont val="Calibri"/>
        <family val="2"/>
        <scheme val="minor"/>
      </rPr>
      <t>1 - Other
2 - cream white/electro white
3 - Stainless steel
4 - Platinum
5 - aluminum
6 - matte
7 - adria
8 - agate
9 - Amber
10 - amber
11 - amethyst
12 - anthracite
13 - anthracite-mottled
…</t>
    </r>
  </si>
  <si>
    <r>
      <t xml:space="preserve">material
</t>
    </r>
    <r>
      <rPr>
        <sz val="14"/>
        <color theme="1"/>
        <rFont val="Calibri"/>
        <family val="2"/>
        <scheme val="minor"/>
      </rPr>
      <t xml:space="preserve">1 - Real glas
2 - Thermoplast
3 - Polyvinylalkohol (PVA)
4 - Coex
5 - recycled paper
6 - eucalyptus
7 - bamboo
8 - 10CrMo910
9 - 13CrMo44
10 - 15Mo3
11 - 15NiCuMoNb5
12 - 18/8 steel
13 - 70 NBR/803
...
</t>
    </r>
  </si>
  <si>
    <t>Color (string)</t>
  </si>
  <si>
    <t>On plaster possible
1 - No
2 - Yes</t>
  </si>
  <si>
    <t>Assembly on floor is possible
1 - No
2 - Yes</t>
  </si>
  <si>
    <t>Flush installation possible
1 - No
2 - Yes</t>
  </si>
  <si>
    <t>Wall assembly possible
1 - No
2 - Yes</t>
  </si>
  <si>
    <t>suitable for 19 inch installation
1 - No
2 - Yes</t>
  </si>
  <si>
    <t>suitable for series installation
1 - No
2 - Yes</t>
  </si>
  <si>
    <t>Number of height units (integer)</t>
  </si>
  <si>
    <r>
      <t xml:space="preserve">Material
</t>
    </r>
    <r>
      <rPr>
        <sz val="14"/>
        <color theme="1"/>
        <rFont val="Calibri"/>
        <family val="2"/>
        <scheme val="minor"/>
      </rPr>
      <t xml:space="preserve">1 - Real glas
2 - Thermoplast
3 - aluminum
4 - Aluminum+lacquer
5 - Box/lever handle: cast light metal
6 - Box/pressure plate: cast light metal
7 - Box/rotating lever: cast light metal
8 - Box/rotating lever: stainless steel
9 - Brass
10 - Bronze
...
</t>
    </r>
  </si>
  <si>
    <t>Mounting plate present
1 - No
2 - Yes</t>
  </si>
  <si>
    <r>
      <t xml:space="preserve">Surface
</t>
    </r>
    <r>
      <rPr>
        <sz val="14"/>
        <color theme="1"/>
        <rFont val="Calibri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…</t>
    </r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</si>
  <si>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
13 - IP65/IP67
…</t>
    </r>
  </si>
  <si>
    <t>Inspection door present
1 - No
2 - Yes</t>
  </si>
  <si>
    <t>%</t>
  </si>
  <si>
    <t>W</t>
  </si>
  <si>
    <t>CNS_COMPONENT_GROUP</t>
  </si>
  <si>
    <t>000038001</t>
  </si>
  <si>
    <t>AAB392</t>
  </si>
  <si>
    <t>AAB440</t>
  </si>
  <si>
    <t>AAB445</t>
  </si>
  <si>
    <t>AAB633</t>
  </si>
  <si>
    <t>AAB634</t>
  </si>
  <si>
    <t>AAB670</t>
  </si>
  <si>
    <t>AAB732</t>
  </si>
  <si>
    <t>AAC900</t>
  </si>
  <si>
    <t>AAG239</t>
  </si>
  <si>
    <t>AAO192</t>
  </si>
  <si>
    <t>AAO221</t>
  </si>
  <si>
    <t>AAO222</t>
  </si>
  <si>
    <t>AAO223</t>
  </si>
  <si>
    <t>AAU729</t>
  </si>
  <si>
    <t>AAW352</t>
  </si>
  <si>
    <t>BAB888</t>
  </si>
  <si>
    <t>BAB894</t>
  </si>
  <si>
    <t>BAB901</t>
  </si>
  <si>
    <t>BAC000</t>
  </si>
  <si>
    <t>BAF343</t>
  </si>
  <si>
    <t>BAF727</t>
  </si>
  <si>
    <t>BAG533</t>
  </si>
  <si>
    <t>BAH464</t>
  </si>
  <si>
    <r>
      <t xml:space="preserve">ECLASS number 
</t>
    </r>
    <r>
      <rPr>
        <sz val="14"/>
        <color theme="1"/>
        <rFont val="Calibri"/>
        <family val="2"/>
        <scheme val="minor"/>
      </rPr>
      <t>27-18-20-** 
27-18-21-**
27-18-22-**
27-18-23-**
27-18-24-**</t>
    </r>
    <r>
      <rPr>
        <b/>
        <sz val="14"/>
        <color theme="1"/>
        <rFont val="Calibri"/>
        <family val="2"/>
        <scheme val="minor"/>
      </rPr>
      <t xml:space="preserve">                                         </t>
    </r>
  </si>
  <si>
    <t>Component Grouping (string)</t>
  </si>
  <si>
    <r>
      <t xml:space="preserve">explicit component type
</t>
    </r>
    <r>
      <rPr>
        <sz val="14"/>
        <color theme="1"/>
        <rFont val="Calibri"/>
        <family val="2"/>
        <scheme val="minor"/>
      </rPr>
      <t>1 - Device
2 - Dynamic Device
3 - Terminal
4 - Connector
5 - Connector With Inserts
6 - Device Wire Seal
7 - Device Blind Plug
8 - Assembly
9 - Assembly Enclosure
10 - Assembly Configuration
11 - Device Rail
12 - Terminal End Cover
...</t>
    </r>
  </si>
  <si>
    <t>Designed as door for disconnecting switch interlock
1 - No
2 - Yes</t>
  </si>
  <si>
    <t>Overall width for cabinet installation</t>
  </si>
  <si>
    <t>Overall depth for cabinet installation</t>
  </si>
  <si>
    <t>suitable as rear wall
1 - No
2 - Yes</t>
  </si>
  <si>
    <t>suitable as side wall
1 - No
2 - Yes</t>
  </si>
  <si>
    <t>suitable for outside installation
1 - No
2 - Yes</t>
  </si>
  <si>
    <t>suitable for cable routing
1 - No
2 - Yes</t>
  </si>
  <si>
    <t>cable leadthrough present
1 - No
2 - Yes</t>
  </si>
  <si>
    <t>Grid dimensions</t>
  </si>
  <si>
    <t>hinging
1 - No
2 - Yes</t>
  </si>
  <si>
    <r>
      <t xml:space="preserve">Designation of battery
</t>
    </r>
    <r>
      <rPr>
        <sz val="14"/>
        <color theme="1"/>
        <rFont val="Calibri"/>
        <family val="2"/>
        <scheme val="minor"/>
      </rPr>
      <t xml:space="preserve">1 - 2CR13252
2 - 2EP3863
3 - 3LR12
4 - 3R12P
5 - 3R12S
6 - 4LR25-2
7 - 4LR25X
8 - 4 LR 44
9 - 4 LR 61
10 - 4R25-2
11 - 4R25X
12 - 4R25Y
13 - 4 SR 44
...
</t>
    </r>
  </si>
  <si>
    <r>
      <t xml:space="preserve">Category
</t>
    </r>
    <r>
      <rPr>
        <sz val="14"/>
        <color theme="1"/>
        <rFont val="Calibri"/>
        <family val="2"/>
        <scheme val="minor"/>
      </rPr>
      <t>1 - Device batteries, primarily
2 - Device batteries,secondarily
3 - Industriebatterien und -akkumulatoren
4 - Vehicle batteries and vehicle accumulators</t>
    </r>
  </si>
  <si>
    <t>Product check date according to RoHS (string)</t>
  </si>
  <si>
    <t>Product check date (SVHC) (string)</t>
  </si>
  <si>
    <r>
      <t xml:space="preserve">Type of Battery
</t>
    </r>
    <r>
      <rPr>
        <sz val="14"/>
        <color theme="1"/>
        <rFont val="Calibri"/>
        <family val="2"/>
        <scheme val="minor"/>
      </rPr>
      <t>1 - HR22
2 - LR1
3 - LR03
4 - LR6
5 - LR14
6 - LR20
7 - LR61</t>
    </r>
  </si>
  <si>
    <t>Supplier product root (string)</t>
  </si>
  <si>
    <t>Suitable for enclosure building width</t>
  </si>
  <si>
    <r>
      <t xml:space="preserve">material
</t>
    </r>
    <r>
      <rPr>
        <sz val="14"/>
        <color theme="1"/>
        <rFont val="Calibri"/>
        <family val="2"/>
        <scheme val="minor"/>
      </rPr>
      <t>1 - Real glas
2 - Thermoplast
3 - Polyvinylalkohol (PVA)
4 - Coex
5 - recycled paper
6 - eucalyptus
7 - bamboo
8 - 10CrMo910
9 - 13CrMo44
10 - 15Mo3
11 - 15NiCuMoNb5
12 - 18/8 steel
13 - 70 NBR/803
...</t>
    </r>
  </si>
  <si>
    <r>
      <t xml:space="preserve">Design (cable protection tube) (27-18-28-13, 27-18-28-11)
</t>
    </r>
    <r>
      <rPr>
        <sz val="14"/>
        <color theme="1"/>
        <rFont val="Calibri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...</t>
    </r>
  </si>
  <si>
    <r>
      <t xml:space="preserve">Design (wall duct) (27-18-28-13, 27-18-28-11)
</t>
    </r>
    <r>
      <rPr>
        <sz val="14"/>
        <color theme="1"/>
        <rFont val="Calibri"/>
        <family val="2"/>
        <scheme val="minor"/>
      </rPr>
      <t>1 - Without screen
2 - With screen
3 - 482.6 mm (19 inch) angle set
4 - 482.6 mm (19 inch) angle profile
5 - 482.6 mm (19 inch) profile set
6 - 482.6 mm (19 inch) profile
7 - L-box
8 - Test case
9 - Test adapter
10 - Impact pin
11 - Impact head
…</t>
    </r>
  </si>
  <si>
    <r>
      <t xml:space="preserve">Design (Actuator) (27-18-28-13, 27-18-28-11)
</t>
    </r>
    <r>
      <rPr>
        <sz val="14"/>
        <color theme="1"/>
        <rFont val="Calibri"/>
        <family val="2"/>
        <scheme val="minor"/>
      </rPr>
      <t>1 - 3-phase current transformer
2 - 6x6 mm
3 - 10x3 mm
4 - 15x6 mm
5 - 19 inch
6 - 19-inch fastening strap
7 - 20x5 mm
8 - 482.6 mm (19 inch) angle profile
9 - 482.6 mm (19 inch) angle set
10 - 482.6 mm (19 inch) mounting angle bracket
...</t>
    </r>
  </si>
  <si>
    <r>
      <t xml:space="preserve">Construction form
</t>
    </r>
    <r>
      <rPr>
        <sz val="14"/>
        <color theme="1"/>
        <rFont val="Calibri"/>
        <family val="2"/>
        <scheme val="minor"/>
      </rPr>
      <t>1 - Front panel installation (72*72)
2 - Serial installation
3 - Wall assembly
4 - Wall assembly+front panel installation (72*72)
5 - Individual part
6 - Assembly kit</t>
    </r>
  </si>
  <si>
    <t>suitable for air intake and exhaust
1 - No
2 - Yes</t>
  </si>
  <si>
    <t>Cable inlet present
1 - No
2 - Yes</t>
  </si>
  <si>
    <r>
      <t xml:space="preserve">Surface
</t>
    </r>
    <r>
      <rPr>
        <sz val="14"/>
        <color theme="1"/>
        <rFont val="Calibri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...</t>
    </r>
  </si>
  <si>
    <t>Lock present
1 - No
2 - Yes</t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</si>
  <si>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
13 - IP65/IP67
...</t>
    </r>
  </si>
  <si>
    <t>Ventilation present
1 - No
2 - Yes</t>
  </si>
  <si>
    <t>Body</t>
  </si>
  <si>
    <t>LINK_MD</t>
  </si>
  <si>
    <t>pdf</t>
  </si>
  <si>
    <t>Eaton</t>
  </si>
  <si>
    <t>https://www.eaton.com/us/en-us.html</t>
  </si>
  <si>
    <t>ClassId</t>
  </si>
  <si>
    <t>Priority</t>
  </si>
  <si>
    <t>Type</t>
  </si>
  <si>
    <t>PropertyId</t>
  </si>
  <si>
    <t>PropertyName</t>
  </si>
  <si>
    <t>Unit</t>
  </si>
  <si>
    <t>english</t>
  </si>
  <si>
    <t>german</t>
  </si>
  <si>
    <t>OP</t>
  </si>
  <si>
    <t>CNS_ATTR_NAME001</t>
  </si>
  <si>
    <t>Steel</t>
  </si>
  <si>
    <t>CE</t>
  </si>
  <si>
    <t>Eaton xEnergy Basic other accessory</t>
  </si>
  <si>
    <t>Eaton xEnergy Basic – Sonstiges Zubehör</t>
  </si>
  <si>
    <t>Datasheet (EN)</t>
  </si>
  <si>
    <t>Datasheet (GER)</t>
  </si>
  <si>
    <t>Front Plate</t>
  </si>
  <si>
    <t>MP_PA_1</t>
  </si>
  <si>
    <t>MP_PA_2</t>
  </si>
  <si>
    <t>Powder coating</t>
  </si>
  <si>
    <t>Plate@1</t>
  </si>
  <si>
    <t>PSN-FP-NZM1X-2/2-400/200-MV</t>
  </si>
  <si>
    <t>PSN-FP/S-NZM1X-3/3-600/200-MV</t>
  </si>
  <si>
    <t>PSN-FP/S-NZM1X-4/4-800/200-MV</t>
  </si>
  <si>
    <t>PSN-FP/S-NZM1X-5/5-1000/200-MV</t>
  </si>
  <si>
    <t>PSN-FP/S-NZM1X-6/6-1200/200-MV</t>
  </si>
  <si>
    <t>PSN-FP-NZM2X-2/0-400/300-MV</t>
  </si>
  <si>
    <t>PSN-FP-NZM2X-3/2-600/300-MV</t>
  </si>
  <si>
    <t>PSN-FP-NZM2X-4/4-800/300-MV</t>
  </si>
  <si>
    <t>PSN-FP-NZM2X-4/4-1000/300-MV</t>
  </si>
  <si>
    <t>PSN-FP-NZM2X-4/4-1200/300-MV</t>
  </si>
  <si>
    <t>PSN-FP-NZM3X-2/2-600/500-MV</t>
  </si>
  <si>
    <t>PSN-FP-NZM3X-3/3-800/500-MV</t>
  </si>
  <si>
    <t>PSN-FP-NZM3X-3/3-1000/500-MV</t>
  </si>
  <si>
    <t>PSN-FP-NZM3X-3/3-1200/500-MV</t>
  </si>
  <si>
    <t>PSN-FP-NZM4X-2/2-800/800-MV-XVTL</t>
  </si>
  <si>
    <t>PSN-FP-NZM4X-3/2-1000/800-MV-XVTL</t>
  </si>
  <si>
    <t>PSN-FP-NZM4X-3/3-1200/800-MV-XVTL</t>
  </si>
  <si>
    <t>PSN-FP/S-NZM2-400/400-MV-XFI</t>
  </si>
  <si>
    <t>PSN-FP/S-NZM2-600/300-MV</t>
  </si>
  <si>
    <t>PSN-FP/S-NZM2-600/400-MV-XFI</t>
  </si>
  <si>
    <t>PSN-FP/S-NZM2X-2/2-600/300-MV</t>
  </si>
  <si>
    <t>PSN-FP/S-NZM2-800/300-MV</t>
  </si>
  <si>
    <t>PSN-FP/S-NZM2-800/400-MV-XFI</t>
  </si>
  <si>
    <t>PSN-FP/S-NZM2X-3/3-800/300-MV</t>
  </si>
  <si>
    <t>PSN-FP/S-NZM3-600/400-MV</t>
  </si>
  <si>
    <t>PSN-FP/S-NZM3-800/400-MV</t>
  </si>
  <si>
    <t>PSN-FP-NZM4-400/800-MV-XVTL</t>
  </si>
  <si>
    <t>PSN-FP/S-NZM4-600/600-MV-XVTL</t>
  </si>
  <si>
    <t>PSN-FP-NZM4-600/800-MV-XVTL</t>
  </si>
  <si>
    <t>PSN-FP/S-NZM4-800/600-MV-XVTL</t>
  </si>
  <si>
    <t>PSN-FP-NZM4-800/800-MV-XVTL</t>
  </si>
  <si>
    <t>PSN-FP/S-NZM1-600/200-MH</t>
  </si>
  <si>
    <t>PSN-FP/S-NZM1-800/200-MH</t>
  </si>
  <si>
    <t>PSN-FP/S-NZM2-600/200-MH</t>
  </si>
  <si>
    <t>PSN-FP/S-NZM2-600/200-MH-XFI</t>
  </si>
  <si>
    <t>PSN-FP/S-NZM2-800/200-MH</t>
  </si>
  <si>
    <t>PSN-FP/S-NZM2-800/200-MH-XFI</t>
  </si>
  <si>
    <t>PSN-FP/S-NZM3-600/400-MH</t>
  </si>
  <si>
    <t>PSN-FP/S-NZM3-800/400-MH</t>
  </si>
  <si>
    <t>PSN-FP/S-NZM4-600/600-MH-XVTL</t>
  </si>
  <si>
    <t>PSN-FP/S-NZM4-800/600-MH-XVTL</t>
  </si>
  <si>
    <t>https://www.eaton.com/gb/en-gb/skuPage.EP-502326.html</t>
  </si>
  <si>
    <t>https://www.eaton.com/gb/en-gb/skuPage.EP-502327.html</t>
  </si>
  <si>
    <t>https://www.eaton.com/gb/en-gb/skuPage.EP-502328.html</t>
  </si>
  <si>
    <t>https://www.eaton.com/gb/en-gb/skuPage.EP-502329.html</t>
  </si>
  <si>
    <t>https://www.eaton.com/gb/en-gb/skuPage.EP-502330.html</t>
  </si>
  <si>
    <t>https://www.eaton.com/gb/en-gb/skuPage.EP-502331.html</t>
  </si>
  <si>
    <t>https://www.eaton.com/gb/en-gb/skuPage.EP-502332.html</t>
  </si>
  <si>
    <t>https://www.eaton.com/gb/en-gb/skuPage.EP-502333.html</t>
  </si>
  <si>
    <t>https://www.eaton.com/gb/en-gb/skuPage.EP-502334.html</t>
  </si>
  <si>
    <t>https://www.eaton.com/gb/en-gb/skuPage.EP-502335.html</t>
  </si>
  <si>
    <t>https://www.eaton.com/gb/en-gb/skuPage.EP-502336.html</t>
  </si>
  <si>
    <t>https://www.eaton.com/gb/en-gb/skuPage.EP-502337.html</t>
  </si>
  <si>
    <t>https://www.eaton.com/gb/en-gb/skuPage.EP-502338.html</t>
  </si>
  <si>
    <t>https://www.eaton.com/gb/en-gb/skuPage.EP-502339.html</t>
  </si>
  <si>
    <t>https://www.eaton.com/gb/en-gb/skuPage.EP-502340.html</t>
  </si>
  <si>
    <t>https://www.eaton.com/gb/en-gb/skuPage.EP-502341.html</t>
  </si>
  <si>
    <t>https://www.eaton.com/gb/en-gb/skuPage.EP-502342.html</t>
  </si>
  <si>
    <t>https://www.eaton.com/gb/en-gb/skuPage.EP-502343.html</t>
  </si>
  <si>
    <t>https://www.eaton.com/gb/en-gb/skuPage.EP-502344.html</t>
  </si>
  <si>
    <t>https://www.eaton.com/gb/en-gb/skuPage.EP-502345.html</t>
  </si>
  <si>
    <t>https://www.eaton.com/gb/en-gb/skuPage.EP-502346.html</t>
  </si>
  <si>
    <t>https://www.eaton.com/gb/en-gb/skuPage.EP-502347.html</t>
  </si>
  <si>
    <t>https://www.eaton.com/gb/en-gb/skuPage.EP-502348.html</t>
  </si>
  <si>
    <t>https://www.eaton.com/gb/en-gb/skuPage.EP-502349.html</t>
  </si>
  <si>
    <t>https://www.eaton.com/gb/en-gb/skuPage.EP-502350.html</t>
  </si>
  <si>
    <t>https://www.eaton.com/gb/en-gb/skuPage.EP-502351.html</t>
  </si>
  <si>
    <t>https://www.eaton.com/gb/en-gb/skuPage.EP-502352.html</t>
  </si>
  <si>
    <t>https://www.eaton.com/gb/en-gb/skuPage.EP-502353.html</t>
  </si>
  <si>
    <t>https://www.eaton.com/gb/en-gb/skuPage.EP-502354.html</t>
  </si>
  <si>
    <t>https://www.eaton.com/gb/en-gb/skuPage.EP-502355.html</t>
  </si>
  <si>
    <t>https://www.eaton.com/gb/en-gb/skuPage.EP-502356.html</t>
  </si>
  <si>
    <t>https://www.eaton.com/gb/en-gb/skuPage.EP-502357.html</t>
  </si>
  <si>
    <t>https://www.eaton.com/gb/en-gb/skuPage.EP-502358.html</t>
  </si>
  <si>
    <t>https://www.eaton.com/gb/en-gb/skuPage.EP-502359.html</t>
  </si>
  <si>
    <t>https://www.eaton.com/gb/en-gb/skuPage.EP-502360.html</t>
  </si>
  <si>
    <t>https://www.eaton.com/gb/en-gb/skuPage.EP-502361.html</t>
  </si>
  <si>
    <t>https://www.eaton.com/gb/en-gb/skuPage.EP-502362.html</t>
  </si>
  <si>
    <t>https://www.eaton.com/gb/en-gb/skuPage.EP-502363.html</t>
  </si>
  <si>
    <t>https://www.eaton.com/gb/en-gb/skuPage.EP-502364.html</t>
  </si>
  <si>
    <t>https://www.eaton.com/gb/en-gb/skuPage.EP-502365.html</t>
  </si>
  <si>
    <t>https://www.eaton.com/gb/en-gb/skuPage.EP-502366.html</t>
  </si>
  <si>
    <t>https://www.eaton.com/gb/en-gb/skuPage.EP-502326.pdf</t>
  </si>
  <si>
    <t>https://www.eaton.com/gb/en-gb/skuPage.EP-502327.pdf</t>
  </si>
  <si>
    <t>https://www.eaton.com/gb/en-gb/skuPage.EP-502328.pdf</t>
  </si>
  <si>
    <t>https://www.eaton.com/gb/en-gb/skuPage.EP-502329.pdf</t>
  </si>
  <si>
    <t>https://www.eaton.com/gb/en-gb/skuPage.EP-502330.pdf</t>
  </si>
  <si>
    <t>https://www.eaton.com/gb/en-gb/skuPage.EP-502331.pdf</t>
  </si>
  <si>
    <t>https://www.eaton.com/gb/en-gb/skuPage.EP-502332.pdf</t>
  </si>
  <si>
    <t>https://www.eaton.com/gb/en-gb/skuPage.EP-502333.pdf</t>
  </si>
  <si>
    <t>https://www.eaton.com/gb/en-gb/skuPage.EP-502334.pdf</t>
  </si>
  <si>
    <t>https://www.eaton.com/gb/en-gb/skuPage.EP-502335.pdf</t>
  </si>
  <si>
    <t>https://www.eaton.com/gb/en-gb/skuPage.EP-502336.pdf</t>
  </si>
  <si>
    <t>https://www.eaton.com/gb/en-gb/skuPage.EP-502337.pdf</t>
  </si>
  <si>
    <t>https://www.eaton.com/gb/en-gb/skuPage.EP-502338.pdf</t>
  </si>
  <si>
    <t>https://www.eaton.com/gb/en-gb/skuPage.EP-502339.pdf</t>
  </si>
  <si>
    <t>https://www.eaton.com/gb/en-gb/skuPage.EP-502340.pdf</t>
  </si>
  <si>
    <t>https://www.eaton.com/gb/en-gb/skuPage.EP-502341.pdf</t>
  </si>
  <si>
    <t>https://www.eaton.com/gb/en-gb/skuPage.EP-502342.pdf</t>
  </si>
  <si>
    <t>https://www.eaton.com/gb/en-gb/skuPage.EP-502343.pdf</t>
  </si>
  <si>
    <t>https://www.eaton.com/gb/en-gb/skuPage.EP-502344.pdf</t>
  </si>
  <si>
    <t>https://www.eaton.com/gb/en-gb/skuPage.EP-502345.pdf</t>
  </si>
  <si>
    <t>https://www.eaton.com/gb/en-gb/skuPage.EP-502346.pdf</t>
  </si>
  <si>
    <t>https://www.eaton.com/gb/en-gb/skuPage.EP-502347.pdf</t>
  </si>
  <si>
    <t>https://www.eaton.com/gb/en-gb/skuPage.EP-502348.pdf</t>
  </si>
  <si>
    <t>https://www.eaton.com/gb/en-gb/skuPage.EP-502349.pdf</t>
  </si>
  <si>
    <t>https://www.eaton.com/gb/en-gb/skuPage.EP-502350.pdf</t>
  </si>
  <si>
    <t>https://www.eaton.com/gb/en-gb/skuPage.EP-502351.pdf</t>
  </si>
  <si>
    <t>https://www.eaton.com/gb/en-gb/skuPage.EP-502352.pdf</t>
  </si>
  <si>
    <t>https://www.eaton.com/gb/en-gb/skuPage.EP-502353.pdf</t>
  </si>
  <si>
    <t>https://www.eaton.com/gb/en-gb/skuPage.EP-502354.pdf</t>
  </si>
  <si>
    <t>https://www.eaton.com/gb/en-gb/skuPage.EP-502355.pdf</t>
  </si>
  <si>
    <t>https://www.eaton.com/gb/en-gb/skuPage.EP-502356.pdf</t>
  </si>
  <si>
    <t>https://www.eaton.com/gb/en-gb/skuPage.EP-502357.pdf</t>
  </si>
  <si>
    <t>https://www.eaton.com/gb/en-gb/skuPage.EP-502358.pdf</t>
  </si>
  <si>
    <t>https://www.eaton.com/gb/en-gb/skuPage.EP-502359.pdf</t>
  </si>
  <si>
    <t>https://www.eaton.com/gb/en-gb/skuPage.EP-502360.pdf</t>
  </si>
  <si>
    <t>https://www.eaton.com/gb/en-gb/skuPage.EP-502361.pdf</t>
  </si>
  <si>
    <t>https://www.eaton.com/gb/en-gb/skuPage.EP-502362.pdf</t>
  </si>
  <si>
    <t>https://www.eaton.com/gb/en-gb/skuPage.EP-502363.pdf</t>
  </si>
  <si>
    <t>https://www.eaton.com/gb/en-gb/skuPage.EP-502364.pdf</t>
  </si>
  <si>
    <t>https://www.eaton.com/gb/en-gb/skuPage.EP-502365.pdf</t>
  </si>
  <si>
    <t>https://www.eaton.com/gb/en-gb/skuPage.EP-502366.pdf</t>
  </si>
  <si>
    <t>https://www.eaton.com/de/de-de/skuPage.EP-502326.pdf</t>
  </si>
  <si>
    <t>https://www.eaton.com/de/de-de/skuPage.EP-502327.pdf</t>
  </si>
  <si>
    <t>https://www.eaton.com/de/de-de/skuPage.EP-502328.pdf</t>
  </si>
  <si>
    <t>https://www.eaton.com/de/de-de/skuPage.EP-502329.pdf</t>
  </si>
  <si>
    <t>https://www.eaton.com/de/de-de/skuPage.EP-502330.pdf</t>
  </si>
  <si>
    <t>https://www.eaton.com/de/de-de/skuPage.EP-502331.pdf</t>
  </si>
  <si>
    <t>https://www.eaton.com/de/de-de/skuPage.EP-502332.pdf</t>
  </si>
  <si>
    <t>https://www.eaton.com/de/de-de/skuPage.EP-502333.pdf</t>
  </si>
  <si>
    <t>https://www.eaton.com/de/de-de/skuPage.EP-502334.pdf</t>
  </si>
  <si>
    <t>https://www.eaton.com/de/de-de/skuPage.EP-502335.pdf</t>
  </si>
  <si>
    <t>https://www.eaton.com/de/de-de/skuPage.EP-502336.pdf</t>
  </si>
  <si>
    <t>https://www.eaton.com/de/de-de/skuPage.EP-502337.pdf</t>
  </si>
  <si>
    <t>https://www.eaton.com/de/de-de/skuPage.EP-502338.pdf</t>
  </si>
  <si>
    <t>https://www.eaton.com/de/de-de/skuPage.EP-502339.pdf</t>
  </si>
  <si>
    <t>https://www.eaton.com/de/de-de/skuPage.EP-502340.pdf</t>
  </si>
  <si>
    <t>https://www.eaton.com/de/de-de/skuPage.EP-502341.pdf</t>
  </si>
  <si>
    <t>https://www.eaton.com/de/de-de/skuPage.EP-502342.pdf</t>
  </si>
  <si>
    <t>https://www.eaton.com/de/de-de/skuPage.EP-502343.pdf</t>
  </si>
  <si>
    <t>https://www.eaton.com/de/de-de/skuPage.EP-502344.pdf</t>
  </si>
  <si>
    <t>https://www.eaton.com/de/de-de/skuPage.EP-502345.pdf</t>
  </si>
  <si>
    <t>https://www.eaton.com/de/de-de/skuPage.EP-502346.pdf</t>
  </si>
  <si>
    <t>https://www.eaton.com/de/de-de/skuPage.EP-502347.pdf</t>
  </si>
  <si>
    <t>https://www.eaton.com/de/de-de/skuPage.EP-502348.pdf</t>
  </si>
  <si>
    <t>https://www.eaton.com/de/de-de/skuPage.EP-502349.pdf</t>
  </si>
  <si>
    <t>https://www.eaton.com/de/de-de/skuPage.EP-502350.pdf</t>
  </si>
  <si>
    <t>https://www.eaton.com/de/de-de/skuPage.EP-502351.pdf</t>
  </si>
  <si>
    <t>https://www.eaton.com/de/de-de/skuPage.EP-502352.pdf</t>
  </si>
  <si>
    <t>https://www.eaton.com/de/de-de/skuPage.EP-502353.pdf</t>
  </si>
  <si>
    <t>https://www.eaton.com/de/de-de/skuPage.EP-502354.pdf</t>
  </si>
  <si>
    <t>https://www.eaton.com/de/de-de/skuPage.EP-502355.pdf</t>
  </si>
  <si>
    <t>https://www.eaton.com/de/de-de/skuPage.EP-502356.pdf</t>
  </si>
  <si>
    <t>https://www.eaton.com/de/de-de/skuPage.EP-502357.pdf</t>
  </si>
  <si>
    <t>https://www.eaton.com/de/de-de/skuPage.EP-502358.pdf</t>
  </si>
  <si>
    <t>https://www.eaton.com/de/de-de/skuPage.EP-502359.pdf</t>
  </si>
  <si>
    <t>https://www.eaton.com/de/de-de/skuPage.EP-502360.pdf</t>
  </si>
  <si>
    <t>https://www.eaton.com/de/de-de/skuPage.EP-502361.pdf</t>
  </si>
  <si>
    <t>https://www.eaton.com/de/de-de/skuPage.EP-502362.pdf</t>
  </si>
  <si>
    <t>https://www.eaton.com/de/de-de/skuPage.EP-502363.pdf</t>
  </si>
  <si>
    <t>https://www.eaton.com/de/de-de/skuPage.EP-502364.pdf</t>
  </si>
  <si>
    <t>https://www.eaton.com/de/de-de/skuPage.EP-502365.pdf</t>
  </si>
  <si>
    <t>https://www.eaton.com/de/de-de/skuPage.EP-502366.pdf</t>
  </si>
  <si>
    <t>9010653074762</t>
  </si>
  <si>
    <t>ProfiSNAP Front Plate, for enclosure width 400mm, H=200mm, prepared for multiple NZM1 3-pole/4-pole vertical</t>
  </si>
  <si>
    <t>9010653074779</t>
  </si>
  <si>
    <t>ProfiSNAP Front Plate, for enclosure width 600mm, H=200mm, prepared for multiple NZM1 3-pole/4-pole vertical</t>
  </si>
  <si>
    <t>9010653074786</t>
  </si>
  <si>
    <t>ProfiSNAP Front Plate, for enclosure width 800mm, H=200mm, prepared for multiple NZM1 3-pole/4-pole vertical</t>
  </si>
  <si>
    <t>9010653074793</t>
  </si>
  <si>
    <t>ProfiSNAP Front Plate, for enclosure width 1000mm, H=200mm, prepared for multiple NZM1 3-pole/4-pole vertical</t>
  </si>
  <si>
    <t>9010653074809</t>
  </si>
  <si>
    <t>ProfiSNAP Front Plate, for enclosure width 1200mm, H=200mm, prepared for multiple NZM1 3-pole/4-pole vertical</t>
  </si>
  <si>
    <t>9010653074816</t>
  </si>
  <si>
    <t>ProfiSNAP Front Plate, for enclosure width 400mm, H=300mm, prepared for multiple NZM2 3-pole vertical</t>
  </si>
  <si>
    <t>9010653074823</t>
  </si>
  <si>
    <t>ProfiSNAP Front Plate, for enclosure width 600mm, H=300mm, prepared for multiple NZM2 3-pole/4-pole vertical</t>
  </si>
  <si>
    <t>9010653074595</t>
  </si>
  <si>
    <t>ProfiSNAP Front Plate, for enclosure width 800mm, H=300mm, prepared for multiple NZM2 3-pole/4-pole vertical</t>
  </si>
  <si>
    <t>9010653074601</t>
  </si>
  <si>
    <t>ProfiSNAP Front Plate, for enclosure width 1000mm, H=300mm, prepared for multiple NZM2 3-pole/4-pole vertical</t>
  </si>
  <si>
    <t>9010653074618</t>
  </si>
  <si>
    <t>ProfiSNAP Front Plate, for enclosure width 1200mm, H=300mm, prepared for multiple NZM2 3-pole/4-pole vertical</t>
  </si>
  <si>
    <t>9010653074625</t>
  </si>
  <si>
    <t>ProfiSNAP Front Plate, for enclosure width 600mm, H=500mm, prepared for multiple NZM3 3-pole/4-pole vertical</t>
  </si>
  <si>
    <t>9010653074632</t>
  </si>
  <si>
    <t>ProfiSNAP Front Plate, for enclosure width 800mm, H=500mm, prepared for multiple NZM3 3-pole/4-pole vertical</t>
  </si>
  <si>
    <t>9010653074649</t>
  </si>
  <si>
    <t>ProfiSNAP Front Plate, for enclosure width 1000mm, H=500mm, prepared for multiple NZM3 3-pole/4-pole vertical</t>
  </si>
  <si>
    <t>9010653074656</t>
  </si>
  <si>
    <t>ProfiSNAP Front Plate, for enclosure width 1200mm, H=500mm, prepared for multiple NZM3 3-pole/4-pole vertical</t>
  </si>
  <si>
    <t>9010653074663</t>
  </si>
  <si>
    <t>ProfiSNAP Front Plate, for enclosure width 800mm, H=800mm, prepared for multiple NZM4 3-pole/4-pole vertical</t>
  </si>
  <si>
    <t>9010653072959</t>
  </si>
  <si>
    <t>ProfiSNAP Front Plate, for enclosure width 1000mm, H=800mm, prepared for multiple NZM4 3-pole/4-pole vertical</t>
  </si>
  <si>
    <t>9010653072966</t>
  </si>
  <si>
    <t>ProfiSNAP Front Plate, for enclosure width 1200mm, H=800mm, prepared for multiple NZM4 3-pole/4-pole vertical</t>
  </si>
  <si>
    <t>9010653072973</t>
  </si>
  <si>
    <t>ProfiSNAP Front Plate, for enclosure width 400mm, H=400mm, prepared for NZM2-4-XFI 4-pole vertical</t>
  </si>
  <si>
    <t>9010653072980</t>
  </si>
  <si>
    <t>ProfiSNAP Front Plate, for enclosure width 600mm, H=300mm, prepared for NZM2 3-pole/4-pole vertical</t>
  </si>
  <si>
    <t>9010653072997</t>
  </si>
  <si>
    <t>ProfiSNAP Front Plate, for enclosure width 600mm, H=400mm, prepared for NZM2-4-XFI 4-pole vertical</t>
  </si>
  <si>
    <t>9010653073000</t>
  </si>
  <si>
    <t>ProfiSNAP Front Plate, S, for enclosure width 600mm, H=300mm, prepared for multiple NZM2 3-pole/4-pole vertical</t>
  </si>
  <si>
    <t>9010653073017</t>
  </si>
  <si>
    <t>ProfiSNAP Front Plate, for enclosure width 800mm, H=300mm, prepared for NZM2 3-pole/4-pole vertical</t>
  </si>
  <si>
    <t>9010653073024</t>
  </si>
  <si>
    <t>ProfiSNAP Front Plate, for enclosure width 800mm, H=400mm, prepared for NZM2-4-XFI 4-pole vertical</t>
  </si>
  <si>
    <t>9010653073031</t>
  </si>
  <si>
    <t>ProfiSNAP Front Plate, S, for enclosure width 800mm, H=300mm, prepared for multiple NZM2 3-pole/4-pole vertical</t>
  </si>
  <si>
    <t>9010653073048</t>
  </si>
  <si>
    <t>ProfiSNAP Front Plate, for enclosure width 600mm, H=400mm, prepared for NZM3 3-pole/4-pole vertical</t>
  </si>
  <si>
    <t>9010653073055</t>
  </si>
  <si>
    <t>ProfiSNAP Front Plate, for enclosure width 800mm, H=400mm, prepared for NZM3 3-pole/4-pole vertical</t>
  </si>
  <si>
    <t>9010653073062</t>
  </si>
  <si>
    <t>ProfiSNAP Front Plate, for enclosure width 400mm, H=800mm, prepared for NZM4 3-pole/4-pole vertical</t>
  </si>
  <si>
    <t>9010653073079</t>
  </si>
  <si>
    <t>9010653073086</t>
  </si>
  <si>
    <t>ProfiSNAP Front Plate, for enclosure width 600mm, H=800mm, prepared for NZM4 3-pole/4-pole vertical</t>
  </si>
  <si>
    <t>ProfiSNAP Front Plate, for enclosure width 600mm, H=600mm, prepared for NZM4 3-pole/4-pole vertical</t>
  </si>
  <si>
    <t>9010653073093</t>
  </si>
  <si>
    <t>ProfiSNAP Front Plate, for enclosure width 800mm, H=600mm, prepared for NZM4 3-pole/4-pole vertical</t>
  </si>
  <si>
    <t>9010653073109</t>
  </si>
  <si>
    <t>ProfiSNAP Front Plate, for enclosure width 800mm, H=800mm, prepared for NZM4 3-pole/4-pole vertical</t>
  </si>
  <si>
    <t>9010653073116</t>
  </si>
  <si>
    <t>ProfiSNAP Front Plate, for enclosure width 600mm, H=200mm, prepared for NZM1 3-pole/4-pole horizontal</t>
  </si>
  <si>
    <t>9010653073123</t>
  </si>
  <si>
    <t>ProfiSNAP Front Plate, for enclosure width 800mm, H=200mm, prepared for NZM1 3-pole/4-pole horizontal</t>
  </si>
  <si>
    <t>9010653073130</t>
  </si>
  <si>
    <t>ProfiSNAP Front Plate, for enclosure width 600mm, H=200mm, prepared for NZM2 3-pole/4-pole horizontal</t>
  </si>
  <si>
    <t>9010653073147</t>
  </si>
  <si>
    <t>ProfiSNAP Front Plate, for enclosure width 600mm, H=200mm, prepared for NZM2-4-XFI 4-pole horizontal</t>
  </si>
  <si>
    <t>9010653072874</t>
  </si>
  <si>
    <t>ProfiSNAP Front Plate, for enclosure width 800mm, H=200mm, prepared for NZM2 3-pole/4-pole horizontal</t>
  </si>
  <si>
    <t>9010653072881</t>
  </si>
  <si>
    <t>ProfiSNAP Front Plate, for enclosure width 800mm, H=200mm, prepared for NZM2-4-XFI 4-pole horizontal</t>
  </si>
  <si>
    <t>9010653072898</t>
  </si>
  <si>
    <t>ProfiSNAP Front Plate, for enclosure width 600mm, H=400mm, prepared for NZM3 3-pole/4-pole horizontal</t>
  </si>
  <si>
    <t>9010653072904</t>
  </si>
  <si>
    <t>ProfiSNAP Front Plate, for enclosure width 800mm, H=400mm, prepared for NZM3 3-pole/4-pole horizontal</t>
  </si>
  <si>
    <t>9010653072911</t>
  </si>
  <si>
    <t>ProfiSNAP Front Plate, for enclosure width 600mm, H=600mm, prepared for NZM4 3-pole/4-pole horizontal</t>
  </si>
  <si>
    <t>9010653072928</t>
  </si>
  <si>
    <t>ProfiSNAP Front Plate, for enclosure width 800mm, H=600mm, prepared for NZM4 3-pole/4-pole horizontal</t>
  </si>
  <si>
    <t>ProfiSNAP Frontplatte, für Gehäusebreite 600 mm, H=300 mm, vorbereitet für mehrere NZM2 3-polige/4-polige Vertikal-Verteilerdosen</t>
  </si>
  <si>
    <t>ProfiSNAP Frontplatte, für Gehäusebreite 800 mm, H=300 mm, vorbereitet für mehrere NZM2 3-polige/4-polige Vertikal-Verteilerdosen</t>
  </si>
  <si>
    <t>ProfiSNAP Frontplatte, für Gehäusebreite 1000 mm, H=300 mm, vorbereitet für mehrere NZM2 3-polige/4-polige Vertikal-Verteilerdosen</t>
  </si>
  <si>
    <t>ProfiSNAP Frontplatte, für Gehäusebreite 1200 mm, H=300 mm, vorbereitet für mehrere NZM2 3-polige/4-polige Vertikal-Verteilerdosen</t>
  </si>
  <si>
    <t>ProfiSNAP Frontplatte, für Gehäusebreite 600 mm, H=500 mm, vorbereitet für mehrere NZM3 3-polige/4-polige Vertikal-Verteilerdosen</t>
  </si>
  <si>
    <t>ProfiSNAP Frontplatte, für Gehäusebreite 800 mm, H=500 mm, vorbereitet für mehrere NZM3 3-polige/4-polige Vertikal-Verteilerdosen</t>
  </si>
  <si>
    <t>ProfiSNAP Frontplatte, für Gehäusebreite 1000 mm, H=500 mm, vorbereitet für mehrere NZM3 3-polige/4-polige Vertikalantennen</t>
  </si>
  <si>
    <t>ProfiSNAP Frontplatte, für Gehäusebreite 600 mm, H=400 mm, vorbereitet für NZM2-4-XFI 4-polige Vertikalsteckdose</t>
  </si>
  <si>
    <t>ProfiSNAP Frontplatte, S, für Gehäusebreite 600 mm, H=300 mm, vorbereitet für mehrere NZM2 3-/4-polige Vertikalsteckdosen</t>
  </si>
  <si>
    <t>ProfiSNAP Frontplatte, für Gehäusebreite 800 mm, H=300 mm, vorbereitet für NZM2 3-/4-polige Vertikalsteckdosen</t>
  </si>
  <si>
    <t>ProfiSNAP Frontplatte, für Gehäusebreite 800 mm, H=400 mm, vorbereitet für NZM2-4-XFI 4-polige Vertikalsteckdose</t>
  </si>
  <si>
    <t>ProfiSNAP Frontplatte, S, für Gehäusebreite 800 mm, H=300 mm, vorbereitet für mehrere NZM2 3-/4-polige Vertikalsteckdosen</t>
  </si>
  <si>
    <t>ProfiSNAP Frontplatte, für Gehäusebreite 600 mm, H=400 mm, vorbereitet für NZM3 3-/4-polige Vertikalsteckdosen</t>
  </si>
  <si>
    <t>ProfiSNAP Frontplatte, für Gehäusebreite 800 mm, ProfiSNAP Frontplatte, H=200 mm, vorbereitet für NZM2-4-XFI 4-polig horizontal</t>
  </si>
  <si>
    <t>ProfiSNAP Frontplatte, für Gehäusebreite 600 mm, H=400 mm, vorbereitet für NZM3 3-/4-polig horizontal</t>
  </si>
  <si>
    <t>ProfiSNAP Frontplatte, für Gehäusebreite 800 mm, H=400 mm, vorbereitet für NZM3 3-/4-polig horizontal</t>
  </si>
  <si>
    <t>ProfiSNAP Frontplatte, für Gehäusebreite 600 mm, H=600 mm, vorbereitet für NZM4 3-/4-polig horizontal</t>
  </si>
  <si>
    <t>ProfiSNAP Frontplatte, für Gehäusebreite 800 mm, H=600 mm, vorbereitet für NZM4 3-/4-polig horizontal</t>
  </si>
  <si>
    <t>ProfiSNAP Frontplatte, für Gehäusebreite 400 mm, H=200 mm, vorbereitet für mehrere NZM1 3-/4-polige Vertikalsteckdosen</t>
  </si>
  <si>
    <t>ProfiSNAP Frontplatte, für Gehäusebreite 600 mm, H=200 mm, vorbereitet für mehrere NZM1 3-/4-polige Vertikalsteckdosen</t>
  </si>
  <si>
    <t>ProfiSNAP Frontplatte, für Gehäusebreite 800 mm, H=200 mm, vorbereitet für mehrere NZM1 3-/4-polige Vertikalsteckdosen</t>
  </si>
  <si>
    <t>ProfiSNAP Frontplatte, für Gehäusebreite 1000 mm, H=200 mm, vorbereitet für mehrere NZM1 3-/4-polige Vertikalsteckdosen</t>
  </si>
  <si>
    <t>ProfiSNAP Frontplatte, für Gehäusebreite 1200 mm, H=200 mm, vorbereitet für mehrere NZM1 3-/4-polige Vertikalsteckdosen</t>
  </si>
  <si>
    <t>ProfiSNAP Frontplatte, für Gehäusebreite 400 mm, H=300 mm, vorbereitet für mehrere NZM2 3-polige Vertikalsteckdosen</t>
  </si>
  <si>
    <t>ProfiSNAP Frontplatte, für Gehäusebreite 1200 mm, H=500 mm, vorbereitet für mehrere NZM3 3-/4-polige Vertikalsteckdosen</t>
  </si>
  <si>
    <t>ProfiSNAP Frontplatte, für Gehäusebreite 800 mm, H=800 mm, vorbereitet für mehrere NZM4 3-/4-polige Vertikalsteckdosen</t>
  </si>
  <si>
    <t>ProfiSNAP Frontplatte, für Gehäusebreite 1000 mm, H=800 mm, vorbereitet für mehrere NZM4 3-/4-polige Vertikalsteckdosen</t>
  </si>
  <si>
    <t>ProfiSNAP Frontplatte, für Gehäusebreite 1200 mm, H=800 mm, vorbereitet für mehrere NZM4 3-/4-polige Vertikalsteckdosen</t>
  </si>
  <si>
    <t>ProfiSNAP Frontplatte, für Gehäusebreite 400 mm, H=400 mm, vorbereitet für NZM2-4-XFI 4-polige Vertikalsteckdosen</t>
  </si>
  <si>
    <t>ProfiSNAP Frontplatte, für Gehäusebreite 600 mm, H=300 mm, vorbereitet für NZM2 3-/4-polige Vertikalsteckdosen</t>
  </si>
  <si>
    <t>ProfiSNAP Frontplatte, für Gehäusebreite 800 mm, ProfiSNAP Frontplatte, für Gehäusebreite 400 mm, H=400 mm, vorbereitet für NZM3 3-/4-polige Vertikalsteckdose</t>
  </si>
  <si>
    <t>ProfiSNAP Frontplatte, für Gehäusebreite 600 mm, H=600 mm, vorbereitet für NZM4 3-/4-polige Vertikalsteckdose</t>
  </si>
  <si>
    <t>ProfiSNAP Frontplatte, für Gehäusebreite 600 mm, H=800 mm, vorbereitet für NZM4 3-/4-polige Vertikalsteckdose</t>
  </si>
  <si>
    <t>ProfiSNAP Frontplatte, für Gehäusebreite 800 mm, H=800 mm, vorbereitet für NZM4 3-/4-polige Vertikalsteckdose</t>
  </si>
  <si>
    <t>ProfiSNAP Frontplatte, für Gehäusebreite 800 mm, H=800 mm, vorbereitet für NZM4 3-polig/4-polig vertikal</t>
  </si>
  <si>
    <t>ProfiSNAP Frontplatte, für Gehäusebreite 600 mm, H=200 mm, vorbereitet für NZM1 3-polig/4-polig horizontal</t>
  </si>
  <si>
    <t>ProfiSNAP Frontplatte, für Gehäusebreite 800 mm, H=200 mm, vorbereitet für NZM1 3-polig/4-polig horizontal</t>
  </si>
  <si>
    <t>ProfiSNAP Frontplatte, für Gehäusebreite 600 mm, H=200 mm, vorbereitet für NZM2 3-polig/4-polig horizontal</t>
  </si>
  <si>
    <t>ProfiSNAP Frontplatte, für Gehäusebreite 600 mm, H=200 mm, vorbereitet für NZM2-4-XFI 4-polig horizontal</t>
  </si>
  <si>
    <t>ProfiSNAP Frontplatte, für Gehäusebreite 800 mm, H=200 mm, vorbereitet für NZM2 3-polig/4-polig horizontal</t>
  </si>
  <si>
    <t>U</t>
  </si>
  <si>
    <t>MP_1</t>
  </si>
  <si>
    <t>User supplementary point 1</t>
  </si>
  <si>
    <t>Blanking plate</t>
  </si>
  <si>
    <t xml:space="preserve">Blindabdeckung </t>
  </si>
  <si>
    <t>Mounting surface</t>
  </si>
  <si>
    <t>Mounting surface NC front</t>
  </si>
  <si>
    <t>ARES_1</t>
  </si>
  <si>
    <t>BAR_1</t>
  </si>
  <si>
    <t>ARES_2</t>
  </si>
  <si>
    <t>ARES_3</t>
  </si>
  <si>
    <t>ARES_4</t>
  </si>
  <si>
    <t>BAR_2</t>
  </si>
  <si>
    <t>BAR_3</t>
  </si>
  <si>
    <t>BAR_4</t>
  </si>
  <si>
    <t>psn_fp_nzm.prj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</si>
</sst>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  <font>
      <sz val="11"/>
      <color rgb="FF000000"/>
      <name val="Aptos Narrow"/>
      <family val="2"/>
      <charset val="238"/>
    </font>
    <font>
      <sz val="11"/>
      <color rgb="FF333F48"/>
      <name val="Arial"/>
      <family val="2"/>
      <charset val="238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9C0006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7CE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6" fillId="12" borderId="0" applyNumberFormat="0" applyBorder="0" applyAlignment="0" applyProtection="0"/>
  </cellStyleXfs>
  <cellXfs count="12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 applyProtection="1">
      <protection locked="0"/>
    </xf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0" borderId="0" xfId="0" applyFont="1"/>
    <xf numFmtId="0" fontId="8" fillId="3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wrapText="1"/>
    </xf>
    <xf numFmtId="0" fontId="10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2" fillId="6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2" fillId="6" borderId="5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7" borderId="6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1" applyFont="1" applyFill="1" applyBorder="1" applyAlignment="1" applyProtection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3" fillId="7" borderId="4" xfId="0" quotePrefix="1" applyFont="1" applyFill="1" applyBorder="1" applyAlignment="1">
      <alignment vertical="center" wrapText="1"/>
    </xf>
    <xf numFmtId="0" fontId="1" fillId="7" borderId="4" xfId="1" applyFill="1" applyBorder="1" applyAlignment="1" applyProtection="1">
      <alignment vertical="center" wrapText="1"/>
    </xf>
    <xf numFmtId="0" fontId="14" fillId="6" borderId="4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1" fillId="7" borderId="4" xfId="1" applyFill="1" applyBorder="1" applyAlignment="1">
      <alignment vertical="center" wrapText="1"/>
    </xf>
    <xf numFmtId="0" fontId="13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center" vertical="center" wrapText="1"/>
    </xf>
    <xf numFmtId="0" fontId="14" fillId="7" borderId="4" xfId="0" quotePrefix="1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8" fillId="0" borderId="0" xfId="0" applyFont="1"/>
    <xf numFmtId="0" fontId="19" fillId="0" borderId="0" xfId="0" applyFont="1" applyAlignment="1">
      <alignment vertical="center"/>
    </xf>
    <xf numFmtId="0" fontId="19" fillId="8" borderId="0" xfId="0" applyFont="1" applyFill="1" applyAlignment="1">
      <alignment vertical="center"/>
    </xf>
    <xf numFmtId="0" fontId="8" fillId="8" borderId="2" xfId="0" applyFont="1" applyFill="1" applyBorder="1" applyAlignment="1">
      <alignment horizontal="left" vertical="top" wrapText="1"/>
    </xf>
    <xf numFmtId="0" fontId="20" fillId="0" borderId="3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8" borderId="8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21" fillId="9" borderId="3" xfId="0" applyFont="1" applyFill="1" applyBorder="1" applyAlignment="1">
      <alignment vertical="center" wrapText="1"/>
    </xf>
    <xf numFmtId="0" fontId="21" fillId="8" borderId="3" xfId="0" applyFont="1" applyFill="1" applyBorder="1" applyAlignment="1">
      <alignment vertical="center" wrapText="1"/>
    </xf>
    <xf numFmtId="0" fontId="22" fillId="0" borderId="0" xfId="0" applyFont="1"/>
    <xf numFmtId="0" fontId="21" fillId="9" borderId="3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 wrapText="1"/>
    </xf>
    <xf numFmtId="49" fontId="21" fillId="9" borderId="9" xfId="0" applyNumberFormat="1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1" fillId="0" borderId="0" xfId="1" applyProtection="1">
      <protection locked="0"/>
    </xf>
    <xf numFmtId="0" fontId="10" fillId="0" borderId="0" xfId="0" applyFont="1" applyProtection="1">
      <protection locked="0"/>
    </xf>
    <xf numFmtId="0" fontId="10" fillId="0" borderId="0" xfId="0" applyFont="1"/>
    <xf numFmtId="0" fontId="10" fillId="0" borderId="0" xfId="0" applyFont="1" applyAlignment="1" applyProtection="1">
      <alignment horizontal="left"/>
      <protection locked="0"/>
    </xf>
    <xf numFmtId="0" fontId="12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3" fillId="0" borderId="0" xfId="0" applyFont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25" fillId="0" borderId="5" xfId="0" applyFont="1" applyBorder="1" applyAlignment="1">
      <alignment horizontal="left" vertical="top" wrapText="1"/>
    </xf>
    <xf numFmtId="0" fontId="12" fillId="6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vertical="center" wrapText="1"/>
    </xf>
    <xf numFmtId="49" fontId="12" fillId="7" borderId="4" xfId="0" applyNumberFormat="1" applyFont="1" applyFill="1" applyBorder="1" applyAlignment="1">
      <alignment horizontal="left" vertical="center" wrapText="1"/>
    </xf>
    <xf numFmtId="49" fontId="13" fillId="7" borderId="4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49" fontId="13" fillId="7" borderId="4" xfId="0" applyNumberFormat="1" applyFont="1" applyFill="1" applyBorder="1" applyAlignment="1">
      <alignment vertical="center" wrapText="1"/>
    </xf>
    <xf numFmtId="0" fontId="1" fillId="7" borderId="7" xfId="1" applyNumberFormat="1" applyFill="1" applyBorder="1" applyAlignment="1">
      <alignment vertical="center" wrapText="1"/>
    </xf>
    <xf numFmtId="0" fontId="1" fillId="7" borderId="7" xfId="1" applyFill="1" applyBorder="1" applyAlignment="1">
      <alignment vertical="center" wrapText="1"/>
    </xf>
    <xf numFmtId="49" fontId="1" fillId="7" borderId="4" xfId="1" applyNumberFormat="1" applyFill="1" applyBorder="1" applyAlignment="1">
      <alignment horizontal="left" vertical="center" wrapText="1"/>
    </xf>
    <xf numFmtId="49" fontId="1" fillId="7" borderId="7" xfId="1" applyNumberFormat="1" applyFill="1" applyBorder="1" applyAlignment="1">
      <alignment horizontal="left" vertical="center" wrapText="1"/>
    </xf>
    <xf numFmtId="0" fontId="10" fillId="0" borderId="0" xfId="0" applyFont="1" applyAlignment="1">
      <alignment vertical="top"/>
    </xf>
    <xf numFmtId="0" fontId="8" fillId="7" borderId="4" xfId="0" applyFont="1" applyFill="1" applyBorder="1" applyAlignment="1">
      <alignment horizontal="left" vertical="top" wrapText="1"/>
    </xf>
    <xf numFmtId="0" fontId="27" fillId="7" borderId="4" xfId="0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left" vertical="top" wrapText="1"/>
    </xf>
    <xf numFmtId="49" fontId="12" fillId="7" borderId="4" xfId="0" applyNumberFormat="1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left" vertical="center" wrapText="1"/>
    </xf>
    <xf numFmtId="49" fontId="12" fillId="6" borderId="7" xfId="0" applyNumberFormat="1" applyFont="1" applyFill="1" applyBorder="1" applyAlignment="1">
      <alignment vertical="center" wrapText="1"/>
    </xf>
    <xf numFmtId="49" fontId="29" fillId="0" borderId="0" xfId="0" applyNumberFormat="1" applyFont="1"/>
    <xf numFmtId="49" fontId="1" fillId="7" borderId="4" xfId="1" applyNumberFormat="1" applyFill="1" applyBorder="1" applyAlignment="1" applyProtection="1">
      <alignment horizontal="left" vertical="center" wrapText="1"/>
    </xf>
    <xf numFmtId="0" fontId="30" fillId="7" borderId="4" xfId="0" applyFont="1" applyFill="1" applyBorder="1" applyAlignment="1">
      <alignment horizontal="left" vertical="top" wrapText="1"/>
    </xf>
    <xf numFmtId="0" fontId="13" fillId="7" borderId="12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left" vertical="top" wrapText="1"/>
      <protection locked="0"/>
    </xf>
    <xf numFmtId="0" fontId="2" fillId="2" borderId="0" xfId="0" applyFont="1" applyFill="1" applyAlignment="1">
      <alignment wrapText="1"/>
    </xf>
    <xf numFmtId="49" fontId="0" fillId="0" borderId="0" xfId="0" applyNumberFormat="1"/>
    <xf numFmtId="0" fontId="1" fillId="0" borderId="0" xfId="1" applyAlignment="1">
      <alignment wrapText="1"/>
    </xf>
    <xf numFmtId="0" fontId="0" fillId="11" borderId="0" xfId="0" applyFill="1"/>
    <xf numFmtId="0" fontId="0" fillId="0" borderId="0" xfId="0" applyAlignment="1">
      <alignment wrapText="1"/>
    </xf>
    <xf numFmtId="0" fontId="1" fillId="0" borderId="0" xfId="1" applyFill="1"/>
    <xf numFmtId="0" fontId="0" fillId="11" borderId="13" xfId="0" applyFill="1" applyBorder="1"/>
    <xf numFmtId="0" fontId="0" fillId="11" borderId="14" xfId="0" applyFill="1" applyBorder="1"/>
    <xf numFmtId="0" fontId="0" fillId="0" borderId="13" xfId="0" applyBorder="1"/>
    <xf numFmtId="0" fontId="0" fillId="0" borderId="14" xfId="0" applyBorder="1"/>
    <xf numFmtId="0" fontId="0" fillId="10" borderId="0" xfId="0" applyFill="1"/>
    <xf numFmtId="49" fontId="0" fillId="10" borderId="0" xfId="0" applyNumberFormat="1" applyFill="1"/>
    <xf numFmtId="0" fontId="0" fillId="10" borderId="0" xfId="0" applyFill="1" applyAlignment="1">
      <alignment wrapText="1"/>
    </xf>
    <xf numFmtId="0" fontId="1" fillId="0" borderId="0" xfId="1"/>
    <xf numFmtId="0" fontId="8" fillId="0" borderId="0" xfId="0" applyFont="1" applyAlignment="1">
      <alignment horizontal="left" vertical="top" wrapText="1"/>
    </xf>
    <xf numFmtId="0" fontId="1" fillId="7" borderId="6" xfId="1" applyFill="1" applyBorder="1" applyAlignment="1" applyProtection="1">
      <alignment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13" fillId="7" borderId="6" xfId="0" applyFont="1" applyFill="1" applyBorder="1" applyAlignment="1">
      <alignment horizontal="left" vertical="center" wrapText="1"/>
    </xf>
    <xf numFmtId="49" fontId="1" fillId="7" borderId="6" xfId="1" applyNumberForma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left" vertical="top" wrapText="1"/>
    </xf>
    <xf numFmtId="0" fontId="32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32" fillId="0" borderId="0" xfId="0" applyFont="1" applyAlignment="1" applyProtection="1">
      <alignment horizontal="center"/>
      <protection locked="0"/>
    </xf>
    <xf numFmtId="0" fontId="33" fillId="0" borderId="0" xfId="0" applyFont="1" applyProtection="1">
      <protection locked="0"/>
    </xf>
    <xf numFmtId="0" fontId="33" fillId="0" borderId="0" xfId="0" applyFont="1"/>
    <xf numFmtId="49" fontId="34" fillId="0" borderId="0" xfId="0" applyNumberFormat="1" applyFont="1"/>
    <xf numFmtId="0" fontId="36" fillId="12" borderId="0" xfId="2" applyProtection="1">
      <protection locked="0"/>
    </xf>
    <xf numFmtId="0" fontId="0" fillId="0" borderId="0" xfId="0" applyAlignment="1">
      <alignment horizontal="left"/>
    </xf>
    <xf numFmtId="0" fontId="32" fillId="0" borderId="0" xfId="0" applyFont="1" applyAlignment="1">
      <alignment horizontal="left"/>
    </xf>
    <xf numFmtId="0" fontId="4" fillId="0" borderId="1" xfId="0" applyFont="1" applyBorder="1" applyAlignment="1" applyProtection="1">
      <alignment horizontal="center"/>
      <protection locked="0"/>
    </xf>
    <xf numFmtId="0" fontId="8" fillId="4" borderId="10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</cellXfs>
  <cellStyles count="3">
    <cellStyle name="Bad" xfId="2" builtinId="27"/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499</xdr:row>
      <xdr:rowOff>0</xdr:rowOff>
    </xdr:from>
    <xdr:to>
      <xdr:col>6</xdr:col>
      <xdr:colOff>687506</xdr:colOff>
      <xdr:row>510</xdr:row>
      <xdr:rowOff>133661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EFC3B76-83BA-47A1-AE71-5226313AF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069150"/>
          <a:ext cx="12222281" cy="2229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aton.com/us/en-us.html" TargetMode="External"/><Relationship Id="rId2" Type="http://schemas.openxmlformats.org/officeDocument/2006/relationships/hyperlink" Target="https://www.eaton.com/us/en-us.html" TargetMode="External"/><Relationship Id="rId1" Type="http://schemas.openxmlformats.org/officeDocument/2006/relationships/hyperlink" Target="https://www.eaton.com/us/en-u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Plate@1" TargetMode="External"/><Relationship Id="rId18" Type="http://schemas.openxmlformats.org/officeDocument/2006/relationships/hyperlink" Target="mailto:Plate@1" TargetMode="External"/><Relationship Id="rId26" Type="http://schemas.openxmlformats.org/officeDocument/2006/relationships/hyperlink" Target="mailto:Plate@1" TargetMode="External"/><Relationship Id="rId39" Type="http://schemas.openxmlformats.org/officeDocument/2006/relationships/hyperlink" Target="mailto:Plate@1" TargetMode="External"/><Relationship Id="rId21" Type="http://schemas.openxmlformats.org/officeDocument/2006/relationships/hyperlink" Target="mailto:Plate@1" TargetMode="External"/><Relationship Id="rId34" Type="http://schemas.openxmlformats.org/officeDocument/2006/relationships/hyperlink" Target="mailto:Plate@1" TargetMode="External"/><Relationship Id="rId7" Type="http://schemas.openxmlformats.org/officeDocument/2006/relationships/hyperlink" Target="mailto:Plate@1" TargetMode="External"/><Relationship Id="rId2" Type="http://schemas.openxmlformats.org/officeDocument/2006/relationships/hyperlink" Target="mailto:Plate@1" TargetMode="External"/><Relationship Id="rId16" Type="http://schemas.openxmlformats.org/officeDocument/2006/relationships/hyperlink" Target="mailto:Plate@1" TargetMode="External"/><Relationship Id="rId20" Type="http://schemas.openxmlformats.org/officeDocument/2006/relationships/hyperlink" Target="mailto:Plate@1" TargetMode="External"/><Relationship Id="rId29" Type="http://schemas.openxmlformats.org/officeDocument/2006/relationships/hyperlink" Target="mailto:Plate@1" TargetMode="External"/><Relationship Id="rId41" Type="http://schemas.openxmlformats.org/officeDocument/2006/relationships/hyperlink" Target="mailto:Plate@1" TargetMode="External"/><Relationship Id="rId1" Type="http://schemas.openxmlformats.org/officeDocument/2006/relationships/hyperlink" Target="mailto:Plate@1" TargetMode="External"/><Relationship Id="rId6" Type="http://schemas.openxmlformats.org/officeDocument/2006/relationships/hyperlink" Target="mailto:Plate@1" TargetMode="External"/><Relationship Id="rId11" Type="http://schemas.openxmlformats.org/officeDocument/2006/relationships/hyperlink" Target="mailto:Plate@1" TargetMode="External"/><Relationship Id="rId24" Type="http://schemas.openxmlformats.org/officeDocument/2006/relationships/hyperlink" Target="mailto:Plate@1" TargetMode="External"/><Relationship Id="rId32" Type="http://schemas.openxmlformats.org/officeDocument/2006/relationships/hyperlink" Target="mailto:Plate@1" TargetMode="External"/><Relationship Id="rId37" Type="http://schemas.openxmlformats.org/officeDocument/2006/relationships/hyperlink" Target="mailto:Plate@1" TargetMode="External"/><Relationship Id="rId40" Type="http://schemas.openxmlformats.org/officeDocument/2006/relationships/hyperlink" Target="mailto:Plate@1" TargetMode="External"/><Relationship Id="rId5" Type="http://schemas.openxmlformats.org/officeDocument/2006/relationships/hyperlink" Target="mailto:Plate@1" TargetMode="External"/><Relationship Id="rId15" Type="http://schemas.openxmlformats.org/officeDocument/2006/relationships/hyperlink" Target="mailto:Plate@1" TargetMode="External"/><Relationship Id="rId23" Type="http://schemas.openxmlformats.org/officeDocument/2006/relationships/hyperlink" Target="mailto:Plate@1" TargetMode="External"/><Relationship Id="rId28" Type="http://schemas.openxmlformats.org/officeDocument/2006/relationships/hyperlink" Target="mailto:Plate@1" TargetMode="External"/><Relationship Id="rId36" Type="http://schemas.openxmlformats.org/officeDocument/2006/relationships/hyperlink" Target="mailto:Plate@1" TargetMode="External"/><Relationship Id="rId10" Type="http://schemas.openxmlformats.org/officeDocument/2006/relationships/hyperlink" Target="mailto:Plate@1" TargetMode="External"/><Relationship Id="rId19" Type="http://schemas.openxmlformats.org/officeDocument/2006/relationships/hyperlink" Target="mailto:Plate@1" TargetMode="External"/><Relationship Id="rId31" Type="http://schemas.openxmlformats.org/officeDocument/2006/relationships/hyperlink" Target="mailto:Plate@1" TargetMode="External"/><Relationship Id="rId4" Type="http://schemas.openxmlformats.org/officeDocument/2006/relationships/hyperlink" Target="mailto:Plate@1" TargetMode="External"/><Relationship Id="rId9" Type="http://schemas.openxmlformats.org/officeDocument/2006/relationships/hyperlink" Target="mailto:Plate@1" TargetMode="External"/><Relationship Id="rId14" Type="http://schemas.openxmlformats.org/officeDocument/2006/relationships/hyperlink" Target="mailto:Plate@1" TargetMode="External"/><Relationship Id="rId22" Type="http://schemas.openxmlformats.org/officeDocument/2006/relationships/hyperlink" Target="mailto:Plate@1" TargetMode="External"/><Relationship Id="rId27" Type="http://schemas.openxmlformats.org/officeDocument/2006/relationships/hyperlink" Target="mailto:Plate@1" TargetMode="External"/><Relationship Id="rId30" Type="http://schemas.openxmlformats.org/officeDocument/2006/relationships/hyperlink" Target="mailto:Plate@1" TargetMode="External"/><Relationship Id="rId35" Type="http://schemas.openxmlformats.org/officeDocument/2006/relationships/hyperlink" Target="mailto:Plate@1" TargetMode="External"/><Relationship Id="rId8" Type="http://schemas.openxmlformats.org/officeDocument/2006/relationships/hyperlink" Target="mailto:Plate@1" TargetMode="External"/><Relationship Id="rId3" Type="http://schemas.openxmlformats.org/officeDocument/2006/relationships/hyperlink" Target="mailto:Plate@1" TargetMode="External"/><Relationship Id="rId12" Type="http://schemas.openxmlformats.org/officeDocument/2006/relationships/hyperlink" Target="mailto:Plate@1" TargetMode="External"/><Relationship Id="rId17" Type="http://schemas.openxmlformats.org/officeDocument/2006/relationships/hyperlink" Target="mailto:Plate@1" TargetMode="External"/><Relationship Id="rId25" Type="http://schemas.openxmlformats.org/officeDocument/2006/relationships/hyperlink" Target="mailto:Plate@1" TargetMode="External"/><Relationship Id="rId33" Type="http://schemas.openxmlformats.org/officeDocument/2006/relationships/hyperlink" Target="mailto:Plate@1" TargetMode="External"/><Relationship Id="rId38" Type="http://schemas.openxmlformats.org/officeDocument/2006/relationships/hyperlink" Target="mailto:Plate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CCC7-EC80-45C6-B500-1FA46BCACEC7}">
  <dimension ref="A1:AR51"/>
  <sheetViews>
    <sheetView topLeftCell="W5" workbookViewId="0">
      <selection activeCell="AF16" sqref="AF16"/>
    </sheetView>
  </sheetViews>
  <sheetFormatPr defaultColWidth="11.42578125" defaultRowHeight="15" x14ac:dyDescent="0.25"/>
  <cols>
    <col min="1" max="1" width="17.5703125" style="39" customWidth="1"/>
    <col min="2" max="23" width="25.7109375" style="39" customWidth="1"/>
    <col min="24" max="24" width="4.7109375" style="39" customWidth="1"/>
    <col min="25" max="28" width="25.7109375" style="39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31.5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32.25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21" t="s">
        <v>2</v>
      </c>
      <c r="AE3" s="121"/>
      <c r="AF3" s="121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2.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18</v>
      </c>
      <c r="G6" s="20" t="s">
        <v>19</v>
      </c>
      <c r="H6" s="20" t="s">
        <v>20</v>
      </c>
      <c r="I6" s="20" t="s">
        <v>21</v>
      </c>
      <c r="J6" s="20" t="s">
        <v>22</v>
      </c>
      <c r="K6" s="21" t="s">
        <v>23</v>
      </c>
      <c r="L6" s="22" t="s">
        <v>24</v>
      </c>
      <c r="M6" s="20" t="s">
        <v>25</v>
      </c>
      <c r="N6" s="20" t="s">
        <v>26</v>
      </c>
      <c r="O6" s="20" t="s">
        <v>27</v>
      </c>
      <c r="P6" s="23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24"/>
      <c r="Y6" s="20" t="s">
        <v>36</v>
      </c>
      <c r="Z6" s="20" t="s">
        <v>37</v>
      </c>
      <c r="AA6" s="20" t="s">
        <v>36</v>
      </c>
      <c r="AB6" s="20" t="s">
        <v>37</v>
      </c>
      <c r="AC6" s="25"/>
      <c r="AD6" s="20" t="s">
        <v>38</v>
      </c>
      <c r="AE6" s="20" t="s">
        <v>39</v>
      </c>
      <c r="AF6" s="20" t="s">
        <v>40</v>
      </c>
      <c r="AG6" s="25"/>
      <c r="AH6" s="20" t="s">
        <v>41</v>
      </c>
      <c r="AI6" s="20" t="s">
        <v>42</v>
      </c>
      <c r="AJ6" s="20" t="s">
        <v>43</v>
      </c>
      <c r="AK6" s="25"/>
      <c r="AL6" s="20" t="s">
        <v>44</v>
      </c>
      <c r="AM6" s="20" t="s">
        <v>45</v>
      </c>
      <c r="AN6" s="20" t="s">
        <v>45</v>
      </c>
      <c r="AO6" s="20" t="s">
        <v>46</v>
      </c>
      <c r="AP6" s="20" t="s">
        <v>46</v>
      </c>
      <c r="AQ6" s="20" t="s">
        <v>47</v>
      </c>
      <c r="AR6" s="20" t="s">
        <v>47</v>
      </c>
    </row>
    <row r="7" spans="1:44" customFormat="1" ht="56.25" x14ac:dyDescent="0.25">
      <c r="A7" s="26" t="s">
        <v>48</v>
      </c>
      <c r="B7" s="27" t="s">
        <v>49</v>
      </c>
      <c r="C7" s="27" t="s">
        <v>49</v>
      </c>
      <c r="D7" s="19" t="s">
        <v>16</v>
      </c>
      <c r="E7" s="19" t="s">
        <v>50</v>
      </c>
      <c r="F7" s="19" t="s">
        <v>51</v>
      </c>
      <c r="G7" s="19" t="s">
        <v>19</v>
      </c>
      <c r="H7" s="19" t="s">
        <v>20</v>
      </c>
      <c r="I7" s="19" t="s">
        <v>52</v>
      </c>
      <c r="J7" s="19" t="s">
        <v>53</v>
      </c>
      <c r="K7" s="21" t="s">
        <v>23</v>
      </c>
      <c r="L7" s="28" t="s">
        <v>24</v>
      </c>
      <c r="M7" s="19" t="s">
        <v>54</v>
      </c>
      <c r="N7" s="23" t="s">
        <v>26</v>
      </c>
      <c r="O7" s="19" t="s">
        <v>27</v>
      </c>
      <c r="P7" s="20" t="s">
        <v>28</v>
      </c>
      <c r="Q7" s="20" t="s">
        <v>29</v>
      </c>
      <c r="R7" s="20" t="s">
        <v>30</v>
      </c>
      <c r="S7" s="20" t="s">
        <v>31</v>
      </c>
      <c r="T7" s="20" t="s">
        <v>32</v>
      </c>
      <c r="U7" s="20" t="s">
        <v>33</v>
      </c>
      <c r="V7" s="20" t="s">
        <v>34</v>
      </c>
      <c r="W7" s="20" t="s">
        <v>35</v>
      </c>
      <c r="X7" s="29"/>
      <c r="Y7" s="20" t="s">
        <v>36</v>
      </c>
      <c r="Z7" s="20" t="s">
        <v>37</v>
      </c>
      <c r="AA7" s="20" t="s">
        <v>36</v>
      </c>
      <c r="AB7" s="20" t="s">
        <v>37</v>
      </c>
      <c r="AC7" s="30"/>
      <c r="AD7" s="20" t="s">
        <v>38</v>
      </c>
      <c r="AE7" s="20" t="s">
        <v>39</v>
      </c>
      <c r="AF7" s="20" t="s">
        <v>40</v>
      </c>
      <c r="AG7" s="30"/>
      <c r="AH7" s="20" t="s">
        <v>55</v>
      </c>
      <c r="AI7" s="20" t="s">
        <v>56</v>
      </c>
      <c r="AJ7" s="20" t="s">
        <v>57</v>
      </c>
      <c r="AK7" s="30"/>
      <c r="AL7" s="31" t="s">
        <v>58</v>
      </c>
      <c r="AM7" s="20" t="s">
        <v>59</v>
      </c>
      <c r="AN7" s="20" t="s">
        <v>60</v>
      </c>
      <c r="AO7" s="20" t="s">
        <v>61</v>
      </c>
      <c r="AP7" s="20" t="s">
        <v>62</v>
      </c>
      <c r="AQ7" s="20" t="s">
        <v>63</v>
      </c>
      <c r="AR7" s="20" t="s">
        <v>64</v>
      </c>
    </row>
    <row r="8" spans="1:44" customFormat="1" ht="82.5" customHeight="1" x14ac:dyDescent="0.25">
      <c r="A8" s="32" t="s">
        <v>65</v>
      </c>
      <c r="B8" s="33" t="s">
        <v>66</v>
      </c>
      <c r="C8" s="34" t="s">
        <v>67</v>
      </c>
      <c r="D8" s="34" t="s">
        <v>68</v>
      </c>
      <c r="E8" s="34" t="s">
        <v>69</v>
      </c>
      <c r="F8" s="34" t="s">
        <v>70</v>
      </c>
      <c r="G8" s="34" t="s">
        <v>71</v>
      </c>
      <c r="H8" s="34" t="s">
        <v>72</v>
      </c>
      <c r="I8" s="34" t="s">
        <v>73</v>
      </c>
      <c r="J8" s="34" t="s">
        <v>74</v>
      </c>
      <c r="K8" s="34" t="s">
        <v>75</v>
      </c>
      <c r="L8" s="34" t="s">
        <v>76</v>
      </c>
      <c r="M8" s="34" t="s">
        <v>77</v>
      </c>
      <c r="N8" s="34" t="s">
        <v>78</v>
      </c>
      <c r="O8" s="34" t="s">
        <v>79</v>
      </c>
      <c r="P8" s="34" t="s">
        <v>80</v>
      </c>
      <c r="Q8" s="34" t="s">
        <v>81</v>
      </c>
      <c r="R8" s="34" t="s">
        <v>82</v>
      </c>
      <c r="S8" s="34" t="s">
        <v>83</v>
      </c>
      <c r="T8" s="34" t="s">
        <v>84</v>
      </c>
      <c r="U8" s="34" t="s">
        <v>85</v>
      </c>
      <c r="V8" s="34" t="s">
        <v>86</v>
      </c>
      <c r="W8" s="34" t="s">
        <v>87</v>
      </c>
      <c r="X8" s="14"/>
      <c r="Y8" s="34" t="s">
        <v>88</v>
      </c>
      <c r="Z8" s="34" t="s">
        <v>89</v>
      </c>
      <c r="AA8" s="34" t="s">
        <v>88</v>
      </c>
      <c r="AB8" s="34" t="s">
        <v>89</v>
      </c>
      <c r="AC8" s="14"/>
      <c r="AD8" s="34" t="s">
        <v>90</v>
      </c>
      <c r="AE8" s="34" t="s">
        <v>91</v>
      </c>
      <c r="AF8" s="34" t="s">
        <v>92</v>
      </c>
      <c r="AG8" s="14"/>
      <c r="AH8" s="34" t="s">
        <v>93</v>
      </c>
      <c r="AI8" s="34" t="s">
        <v>94</v>
      </c>
      <c r="AJ8" s="34" t="s">
        <v>95</v>
      </c>
      <c r="AK8" s="14"/>
      <c r="AL8" s="34" t="s">
        <v>96</v>
      </c>
      <c r="AM8" s="34" t="s">
        <v>97</v>
      </c>
      <c r="AN8" s="34" t="s">
        <v>98</v>
      </c>
      <c r="AO8" s="34" t="s">
        <v>99</v>
      </c>
      <c r="AP8" s="34" t="s">
        <v>100</v>
      </c>
      <c r="AQ8" s="34" t="s">
        <v>101</v>
      </c>
      <c r="AR8" s="34" t="s">
        <v>102</v>
      </c>
    </row>
    <row r="9" spans="1:44" customFormat="1" ht="18.75" x14ac:dyDescent="0.25">
      <c r="A9" s="32" t="s">
        <v>103</v>
      </c>
      <c r="B9" s="35" t="s">
        <v>104</v>
      </c>
      <c r="C9" s="35" t="s">
        <v>104</v>
      </c>
      <c r="D9" s="35" t="s">
        <v>104</v>
      </c>
      <c r="E9" s="35" t="s">
        <v>104</v>
      </c>
      <c r="F9" s="35" t="s">
        <v>104</v>
      </c>
      <c r="G9" s="35" t="s">
        <v>104</v>
      </c>
      <c r="H9" s="35" t="s">
        <v>104</v>
      </c>
      <c r="I9" s="35" t="s">
        <v>104</v>
      </c>
      <c r="J9" s="35" t="s">
        <v>104</v>
      </c>
      <c r="K9" s="36" t="s">
        <v>105</v>
      </c>
      <c r="L9" s="35" t="s">
        <v>104</v>
      </c>
      <c r="M9" s="35" t="s">
        <v>106</v>
      </c>
      <c r="N9" s="35" t="s">
        <v>107</v>
      </c>
      <c r="O9" s="35" t="s">
        <v>104</v>
      </c>
      <c r="P9" s="35" t="s">
        <v>104</v>
      </c>
      <c r="Q9" s="35" t="s">
        <v>104</v>
      </c>
      <c r="R9" s="35" t="s">
        <v>104</v>
      </c>
      <c r="S9" s="35" t="s">
        <v>104</v>
      </c>
      <c r="T9" s="35" t="s">
        <v>104</v>
      </c>
      <c r="U9" s="35" t="s">
        <v>104</v>
      </c>
      <c r="V9" s="35" t="s">
        <v>104</v>
      </c>
      <c r="W9" s="35" t="s">
        <v>104</v>
      </c>
      <c r="X9" s="37"/>
      <c r="Y9" s="35" t="s">
        <v>104</v>
      </c>
      <c r="Z9" s="35" t="s">
        <v>104</v>
      </c>
      <c r="AA9" s="35" t="s">
        <v>104</v>
      </c>
      <c r="AB9" s="35" t="s">
        <v>104</v>
      </c>
      <c r="AC9" s="14"/>
      <c r="AD9" s="38" t="s">
        <v>108</v>
      </c>
      <c r="AE9" s="38" t="s">
        <v>108</v>
      </c>
      <c r="AF9" s="38" t="s">
        <v>108</v>
      </c>
      <c r="AG9" s="14"/>
      <c r="AH9" s="38" t="s">
        <v>104</v>
      </c>
      <c r="AI9" s="38" t="s">
        <v>104</v>
      </c>
      <c r="AJ9" s="38" t="s">
        <v>104</v>
      </c>
      <c r="AK9" s="14"/>
      <c r="AL9" s="38" t="s">
        <v>104</v>
      </c>
      <c r="AM9" s="38" t="s">
        <v>109</v>
      </c>
      <c r="AN9" s="38" t="s">
        <v>109</v>
      </c>
      <c r="AO9" s="38" t="s">
        <v>109</v>
      </c>
      <c r="AP9" s="38" t="s">
        <v>109</v>
      </c>
      <c r="AQ9" s="38" t="s">
        <v>109</v>
      </c>
      <c r="AR9" s="38" t="s">
        <v>109</v>
      </c>
    </row>
    <row r="11" spans="1:44" x14ac:dyDescent="0.25">
      <c r="B11" s="112" t="s">
        <v>1122</v>
      </c>
      <c r="C11" s="57" t="s">
        <v>1123</v>
      </c>
      <c r="D11" s="39" t="s">
        <v>1186</v>
      </c>
      <c r="E11">
        <v>502326</v>
      </c>
      <c r="F11" t="s">
        <v>1145</v>
      </c>
      <c r="G11" s="116" t="s">
        <v>1135</v>
      </c>
      <c r="I11" s="117" t="s">
        <v>1309</v>
      </c>
      <c r="M11" s="39">
        <v>1.2</v>
      </c>
      <c r="Y11" s="39" t="s">
        <v>1409</v>
      </c>
      <c r="Z11" s="39" t="s">
        <v>1137</v>
      </c>
      <c r="AA11" s="39" t="s">
        <v>1310</v>
      </c>
      <c r="AB11" s="39" t="s">
        <v>1136</v>
      </c>
      <c r="AH11" s="39" t="s">
        <v>1431</v>
      </c>
    </row>
    <row r="12" spans="1:44" x14ac:dyDescent="0.25">
      <c r="B12" s="112" t="s">
        <v>1122</v>
      </c>
      <c r="C12" s="57" t="s">
        <v>1123</v>
      </c>
      <c r="D12" s="39" t="s">
        <v>1187</v>
      </c>
      <c r="E12">
        <v>502327</v>
      </c>
      <c r="F12" t="s">
        <v>1146</v>
      </c>
      <c r="G12" s="116" t="s">
        <v>1135</v>
      </c>
      <c r="I12" s="117" t="s">
        <v>1311</v>
      </c>
      <c r="M12" s="39">
        <v>1.9</v>
      </c>
      <c r="Y12" s="39" t="s">
        <v>1410</v>
      </c>
      <c r="Z12" s="39" t="s">
        <v>1137</v>
      </c>
      <c r="AA12" s="39" t="s">
        <v>1312</v>
      </c>
      <c r="AB12" s="39" t="s">
        <v>1136</v>
      </c>
      <c r="AH12" s="39" t="s">
        <v>1431</v>
      </c>
    </row>
    <row r="13" spans="1:44" x14ac:dyDescent="0.25">
      <c r="B13" s="112" t="s">
        <v>1122</v>
      </c>
      <c r="C13" s="57" t="s">
        <v>1123</v>
      </c>
      <c r="D13" s="39" t="s">
        <v>1188</v>
      </c>
      <c r="E13">
        <v>502328</v>
      </c>
      <c r="F13" t="s">
        <v>1147</v>
      </c>
      <c r="G13" s="116" t="s">
        <v>1135</v>
      </c>
      <c r="I13" s="117" t="s">
        <v>1313</v>
      </c>
      <c r="M13" s="39">
        <v>2.4</v>
      </c>
      <c r="Y13" s="39" t="s">
        <v>1411</v>
      </c>
      <c r="Z13" s="39" t="s">
        <v>1137</v>
      </c>
      <c r="AA13" s="39" t="s">
        <v>1314</v>
      </c>
      <c r="AB13" t="s">
        <v>1136</v>
      </c>
      <c r="AH13" s="39" t="s">
        <v>1431</v>
      </c>
    </row>
    <row r="14" spans="1:44" x14ac:dyDescent="0.25">
      <c r="B14" s="112" t="s">
        <v>1122</v>
      </c>
      <c r="C14" s="57" t="s">
        <v>1123</v>
      </c>
      <c r="D14" s="39" t="s">
        <v>1189</v>
      </c>
      <c r="E14">
        <v>502329</v>
      </c>
      <c r="F14" t="s">
        <v>1148</v>
      </c>
      <c r="G14" s="116" t="s">
        <v>1135</v>
      </c>
      <c r="I14" s="117" t="s">
        <v>1315</v>
      </c>
      <c r="M14" s="39">
        <v>3.1</v>
      </c>
      <c r="Y14" s="39" t="s">
        <v>1412</v>
      </c>
      <c r="Z14" s="39" t="s">
        <v>1137</v>
      </c>
      <c r="AA14" s="39" t="s">
        <v>1316</v>
      </c>
      <c r="AB14" s="39" t="s">
        <v>1136</v>
      </c>
      <c r="AH14" s="39" t="s">
        <v>1431</v>
      </c>
    </row>
    <row r="15" spans="1:44" x14ac:dyDescent="0.25">
      <c r="B15" s="112" t="s">
        <v>1122</v>
      </c>
      <c r="C15" s="57" t="s">
        <v>1123</v>
      </c>
      <c r="D15" s="39" t="s">
        <v>1190</v>
      </c>
      <c r="E15">
        <v>502330</v>
      </c>
      <c r="F15" t="s">
        <v>1149</v>
      </c>
      <c r="G15" s="116" t="s">
        <v>1135</v>
      </c>
      <c r="I15" s="117" t="s">
        <v>1317</v>
      </c>
      <c r="M15" s="39">
        <v>3.5</v>
      </c>
      <c r="Y15" s="39" t="s">
        <v>1413</v>
      </c>
      <c r="Z15" s="39" t="s">
        <v>1137</v>
      </c>
      <c r="AA15" s="39" t="s">
        <v>1318</v>
      </c>
      <c r="AB15" t="s">
        <v>1136</v>
      </c>
      <c r="AH15" s="39" t="s">
        <v>1431</v>
      </c>
    </row>
    <row r="16" spans="1:44" x14ac:dyDescent="0.25">
      <c r="B16" s="112" t="s">
        <v>1122</v>
      </c>
      <c r="C16" s="57" t="s">
        <v>1123</v>
      </c>
      <c r="D16" s="39" t="s">
        <v>1191</v>
      </c>
      <c r="E16">
        <v>502331</v>
      </c>
      <c r="F16" t="s">
        <v>1150</v>
      </c>
      <c r="G16" s="116" t="s">
        <v>1135</v>
      </c>
      <c r="I16" s="117" t="s">
        <v>1319</v>
      </c>
      <c r="M16" s="39">
        <v>1.4</v>
      </c>
      <c r="Y16" s="39" t="s">
        <v>1414</v>
      </c>
      <c r="Z16" s="39" t="s">
        <v>1137</v>
      </c>
      <c r="AA16" s="39" t="s">
        <v>1320</v>
      </c>
      <c r="AB16" s="39" t="s">
        <v>1136</v>
      </c>
      <c r="AH16" s="39" t="s">
        <v>1431</v>
      </c>
    </row>
    <row r="17" spans="2:34" x14ac:dyDescent="0.25">
      <c r="B17" s="112" t="s">
        <v>1122</v>
      </c>
      <c r="C17" s="57" t="s">
        <v>1123</v>
      </c>
      <c r="D17" s="39" t="s">
        <v>1192</v>
      </c>
      <c r="E17">
        <v>502332</v>
      </c>
      <c r="F17" t="s">
        <v>1151</v>
      </c>
      <c r="G17" s="116" t="s">
        <v>1135</v>
      </c>
      <c r="I17" s="117" t="s">
        <v>1321</v>
      </c>
      <c r="M17" s="39">
        <v>2.2000000000000002</v>
      </c>
      <c r="Y17" s="39" t="s">
        <v>1391</v>
      </c>
      <c r="Z17" s="39" t="s">
        <v>1137</v>
      </c>
      <c r="AA17" s="39" t="s">
        <v>1322</v>
      </c>
      <c r="AB17" s="39" t="s">
        <v>1136</v>
      </c>
      <c r="AH17" s="39" t="s">
        <v>1431</v>
      </c>
    </row>
    <row r="18" spans="2:34" x14ac:dyDescent="0.25">
      <c r="B18" s="112" t="s">
        <v>1122</v>
      </c>
      <c r="C18" s="57" t="s">
        <v>1123</v>
      </c>
      <c r="D18" s="39" t="s">
        <v>1193</v>
      </c>
      <c r="E18">
        <v>502333</v>
      </c>
      <c r="F18" t="s">
        <v>1152</v>
      </c>
      <c r="G18" s="116" t="s">
        <v>1135</v>
      </c>
      <c r="I18" s="117" t="s">
        <v>1323</v>
      </c>
      <c r="M18" s="39">
        <v>2.8</v>
      </c>
      <c r="Y18" s="39" t="s">
        <v>1392</v>
      </c>
      <c r="Z18" s="39" t="s">
        <v>1137</v>
      </c>
      <c r="AA18" s="39" t="s">
        <v>1324</v>
      </c>
      <c r="AB18" s="39" t="s">
        <v>1136</v>
      </c>
      <c r="AH18" s="39" t="s">
        <v>1431</v>
      </c>
    </row>
    <row r="19" spans="2:34" x14ac:dyDescent="0.25">
      <c r="B19" s="112" t="s">
        <v>1122</v>
      </c>
      <c r="C19" s="57" t="s">
        <v>1123</v>
      </c>
      <c r="D19" s="39" t="s">
        <v>1194</v>
      </c>
      <c r="E19">
        <v>502334</v>
      </c>
      <c r="F19" t="s">
        <v>1153</v>
      </c>
      <c r="G19" s="116" t="s">
        <v>1135</v>
      </c>
      <c r="I19" s="117" t="s">
        <v>1325</v>
      </c>
      <c r="M19" s="39">
        <v>3.5</v>
      </c>
      <c r="Y19" s="39" t="s">
        <v>1393</v>
      </c>
      <c r="Z19" s="39" t="s">
        <v>1137</v>
      </c>
      <c r="AA19" s="39" t="s">
        <v>1326</v>
      </c>
      <c r="AB19" t="s">
        <v>1136</v>
      </c>
      <c r="AH19" s="39" t="s">
        <v>1431</v>
      </c>
    </row>
    <row r="20" spans="2:34" x14ac:dyDescent="0.25">
      <c r="B20" s="112" t="s">
        <v>1122</v>
      </c>
      <c r="C20" s="57" t="s">
        <v>1123</v>
      </c>
      <c r="D20" s="39" t="s">
        <v>1195</v>
      </c>
      <c r="E20">
        <v>502335</v>
      </c>
      <c r="F20" t="s">
        <v>1154</v>
      </c>
      <c r="G20" s="116" t="s">
        <v>1135</v>
      </c>
      <c r="I20" s="117" t="s">
        <v>1327</v>
      </c>
      <c r="M20" s="39">
        <v>4</v>
      </c>
      <c r="Y20" s="39" t="s">
        <v>1394</v>
      </c>
      <c r="Z20" s="39" t="s">
        <v>1137</v>
      </c>
      <c r="AA20" s="39" t="s">
        <v>1328</v>
      </c>
      <c r="AB20" s="39" t="s">
        <v>1136</v>
      </c>
      <c r="AH20" s="39" t="s">
        <v>1431</v>
      </c>
    </row>
    <row r="21" spans="2:34" x14ac:dyDescent="0.25">
      <c r="B21" s="112" t="s">
        <v>1122</v>
      </c>
      <c r="C21" s="57" t="s">
        <v>1123</v>
      </c>
      <c r="D21" s="39" t="s">
        <v>1196</v>
      </c>
      <c r="E21">
        <v>502336</v>
      </c>
      <c r="F21" t="s">
        <v>1155</v>
      </c>
      <c r="G21" s="116" t="s">
        <v>1135</v>
      </c>
      <c r="I21" s="117" t="s">
        <v>1329</v>
      </c>
      <c r="M21" s="39">
        <v>3.1</v>
      </c>
      <c r="Y21" s="39" t="s">
        <v>1395</v>
      </c>
      <c r="Z21" s="39" t="s">
        <v>1137</v>
      </c>
      <c r="AA21" s="39" t="s">
        <v>1330</v>
      </c>
      <c r="AB21" t="s">
        <v>1136</v>
      </c>
      <c r="AH21" s="39" t="s">
        <v>1431</v>
      </c>
    </row>
    <row r="22" spans="2:34" x14ac:dyDescent="0.25">
      <c r="B22" s="112" t="s">
        <v>1122</v>
      </c>
      <c r="C22" s="57" t="s">
        <v>1123</v>
      </c>
      <c r="D22" s="39" t="s">
        <v>1197</v>
      </c>
      <c r="E22">
        <v>502337</v>
      </c>
      <c r="F22" t="s">
        <v>1156</v>
      </c>
      <c r="G22" s="116" t="s">
        <v>1135</v>
      </c>
      <c r="I22" s="117" t="s">
        <v>1331</v>
      </c>
      <c r="M22" s="39">
        <v>4</v>
      </c>
      <c r="Y22" s="39" t="s">
        <v>1396</v>
      </c>
      <c r="Z22" s="39" t="s">
        <v>1137</v>
      </c>
      <c r="AA22" s="39" t="s">
        <v>1332</v>
      </c>
      <c r="AB22" s="39" t="s">
        <v>1136</v>
      </c>
      <c r="AH22" s="39" t="s">
        <v>1431</v>
      </c>
    </row>
    <row r="23" spans="2:34" x14ac:dyDescent="0.25">
      <c r="B23" s="112" t="s">
        <v>1122</v>
      </c>
      <c r="C23" s="57" t="s">
        <v>1123</v>
      </c>
      <c r="D23" s="39" t="s">
        <v>1198</v>
      </c>
      <c r="E23">
        <v>502338</v>
      </c>
      <c r="F23" t="s">
        <v>1157</v>
      </c>
      <c r="G23" s="116" t="s">
        <v>1135</v>
      </c>
      <c r="I23" s="117" t="s">
        <v>1333</v>
      </c>
      <c r="M23" s="39">
        <v>5.2</v>
      </c>
      <c r="Y23" s="39" t="s">
        <v>1397</v>
      </c>
      <c r="Z23" s="39" t="s">
        <v>1137</v>
      </c>
      <c r="AA23" s="39" t="s">
        <v>1334</v>
      </c>
      <c r="AB23" s="39" t="s">
        <v>1136</v>
      </c>
      <c r="AH23" s="39" t="s">
        <v>1431</v>
      </c>
    </row>
    <row r="24" spans="2:34" x14ac:dyDescent="0.25">
      <c r="B24" s="112" t="s">
        <v>1122</v>
      </c>
      <c r="C24" s="57" t="s">
        <v>1123</v>
      </c>
      <c r="D24" s="39" t="s">
        <v>1199</v>
      </c>
      <c r="E24">
        <v>502339</v>
      </c>
      <c r="F24" t="s">
        <v>1158</v>
      </c>
      <c r="G24" s="116" t="s">
        <v>1135</v>
      </c>
      <c r="I24" s="117" t="s">
        <v>1335</v>
      </c>
      <c r="M24" s="39">
        <v>6</v>
      </c>
      <c r="Y24" s="39" t="s">
        <v>1415</v>
      </c>
      <c r="Z24" s="39" t="s">
        <v>1137</v>
      </c>
      <c r="AA24" s="39" t="s">
        <v>1336</v>
      </c>
      <c r="AB24" s="39" t="s">
        <v>1136</v>
      </c>
      <c r="AH24" s="39" t="s">
        <v>1431</v>
      </c>
    </row>
    <row r="25" spans="2:34" x14ac:dyDescent="0.25">
      <c r="B25" s="112" t="s">
        <v>1122</v>
      </c>
      <c r="C25" s="57" t="s">
        <v>1123</v>
      </c>
      <c r="D25" s="39" t="s">
        <v>1200</v>
      </c>
      <c r="E25">
        <v>502340</v>
      </c>
      <c r="F25" t="s">
        <v>1159</v>
      </c>
      <c r="G25" s="116" t="s">
        <v>1135</v>
      </c>
      <c r="I25" s="117" t="s">
        <v>1337</v>
      </c>
      <c r="M25" s="39">
        <v>5.8</v>
      </c>
      <c r="Y25" s="39" t="s">
        <v>1416</v>
      </c>
      <c r="Z25" s="39" t="s">
        <v>1137</v>
      </c>
      <c r="AA25" s="39" t="s">
        <v>1338</v>
      </c>
      <c r="AB25" t="s">
        <v>1136</v>
      </c>
      <c r="AH25" s="39" t="s">
        <v>1431</v>
      </c>
    </row>
    <row r="26" spans="2:34" x14ac:dyDescent="0.25">
      <c r="B26" s="112" t="s">
        <v>1122</v>
      </c>
      <c r="C26" s="57" t="s">
        <v>1123</v>
      </c>
      <c r="D26" s="39" t="s">
        <v>1201</v>
      </c>
      <c r="E26">
        <v>502341</v>
      </c>
      <c r="F26" t="s">
        <v>1160</v>
      </c>
      <c r="G26" s="116" t="s">
        <v>1135</v>
      </c>
      <c r="I26" s="117" t="s">
        <v>1339</v>
      </c>
      <c r="M26" s="39">
        <v>7.7</v>
      </c>
      <c r="Y26" s="39" t="s">
        <v>1417</v>
      </c>
      <c r="Z26" s="39" t="s">
        <v>1137</v>
      </c>
      <c r="AA26" s="39" t="s">
        <v>1340</v>
      </c>
      <c r="AB26" s="39" t="s">
        <v>1136</v>
      </c>
      <c r="AH26" s="39" t="s">
        <v>1431</v>
      </c>
    </row>
    <row r="27" spans="2:34" x14ac:dyDescent="0.25">
      <c r="B27" s="112" t="s">
        <v>1122</v>
      </c>
      <c r="C27" s="57" t="s">
        <v>1123</v>
      </c>
      <c r="D27" s="39" t="s">
        <v>1202</v>
      </c>
      <c r="E27">
        <v>502342</v>
      </c>
      <c r="F27" t="s">
        <v>1161</v>
      </c>
      <c r="G27" s="116" t="s">
        <v>1135</v>
      </c>
      <c r="I27" s="117" t="s">
        <v>1341</v>
      </c>
      <c r="M27" s="39">
        <v>9.1999999999999993</v>
      </c>
      <c r="Y27" s="39" t="s">
        <v>1418</v>
      </c>
      <c r="Z27" s="39" t="s">
        <v>1137</v>
      </c>
      <c r="AA27" s="39" t="s">
        <v>1342</v>
      </c>
      <c r="AB27" t="s">
        <v>1136</v>
      </c>
      <c r="AH27" s="39" t="s">
        <v>1431</v>
      </c>
    </row>
    <row r="28" spans="2:34" x14ac:dyDescent="0.25">
      <c r="B28" s="112" t="s">
        <v>1122</v>
      </c>
      <c r="C28" s="57" t="s">
        <v>1123</v>
      </c>
      <c r="D28" s="39" t="s">
        <v>1203</v>
      </c>
      <c r="E28">
        <v>502343</v>
      </c>
      <c r="F28" t="s">
        <v>1162</v>
      </c>
      <c r="G28" s="116" t="s">
        <v>1135</v>
      </c>
      <c r="I28" s="117" t="s">
        <v>1343</v>
      </c>
      <c r="M28" s="39">
        <v>1.2</v>
      </c>
      <c r="Y28" s="39" t="s">
        <v>1419</v>
      </c>
      <c r="Z28" s="39" t="s">
        <v>1137</v>
      </c>
      <c r="AA28" s="39" t="s">
        <v>1344</v>
      </c>
      <c r="AB28" s="39" t="s">
        <v>1136</v>
      </c>
      <c r="AH28" s="39" t="s">
        <v>1431</v>
      </c>
    </row>
    <row r="29" spans="2:34" x14ac:dyDescent="0.25">
      <c r="B29" s="112" t="s">
        <v>1122</v>
      </c>
      <c r="C29" s="57" t="s">
        <v>1123</v>
      </c>
      <c r="D29" s="39" t="s">
        <v>1204</v>
      </c>
      <c r="E29">
        <v>502344</v>
      </c>
      <c r="F29" t="s">
        <v>1163</v>
      </c>
      <c r="G29" s="116" t="s">
        <v>1135</v>
      </c>
      <c r="I29" s="117" t="s">
        <v>1345</v>
      </c>
      <c r="M29" s="39">
        <v>2.1</v>
      </c>
      <c r="Y29" s="39" t="s">
        <v>1420</v>
      </c>
      <c r="Z29" s="39" t="s">
        <v>1137</v>
      </c>
      <c r="AA29" s="39" t="s">
        <v>1346</v>
      </c>
      <c r="AB29" s="39" t="s">
        <v>1136</v>
      </c>
      <c r="AH29" s="39" t="s">
        <v>1431</v>
      </c>
    </row>
    <row r="30" spans="2:34" x14ac:dyDescent="0.25">
      <c r="B30" s="112" t="s">
        <v>1122</v>
      </c>
      <c r="C30" s="57" t="s">
        <v>1123</v>
      </c>
      <c r="D30" s="39" t="s">
        <v>1205</v>
      </c>
      <c r="E30">
        <v>502345</v>
      </c>
      <c r="F30" t="s">
        <v>1164</v>
      </c>
      <c r="G30" s="116" t="s">
        <v>1135</v>
      </c>
      <c r="I30" s="117" t="s">
        <v>1347</v>
      </c>
      <c r="M30" s="39">
        <v>2</v>
      </c>
      <c r="Y30" s="39" t="s">
        <v>1398</v>
      </c>
      <c r="Z30" s="39" t="s">
        <v>1137</v>
      </c>
      <c r="AA30" s="39" t="s">
        <v>1348</v>
      </c>
      <c r="AB30" s="39" t="s">
        <v>1136</v>
      </c>
      <c r="AH30" s="39" t="s">
        <v>1431</v>
      </c>
    </row>
    <row r="31" spans="2:34" x14ac:dyDescent="0.25">
      <c r="B31" s="112" t="s">
        <v>1122</v>
      </c>
      <c r="C31" s="57" t="s">
        <v>1123</v>
      </c>
      <c r="D31" s="39" t="s">
        <v>1206</v>
      </c>
      <c r="E31">
        <v>502346</v>
      </c>
      <c r="F31" t="s">
        <v>1165</v>
      </c>
      <c r="G31" s="116" t="s">
        <v>1135</v>
      </c>
      <c r="I31" s="117" t="s">
        <v>1349</v>
      </c>
      <c r="M31" s="39">
        <v>2</v>
      </c>
      <c r="Y31" s="39" t="s">
        <v>1399</v>
      </c>
      <c r="Z31" s="39" t="s">
        <v>1137</v>
      </c>
      <c r="AA31" s="39" t="s">
        <v>1350</v>
      </c>
      <c r="AB31" s="39" t="s">
        <v>1136</v>
      </c>
      <c r="AH31" s="39" t="s">
        <v>1431</v>
      </c>
    </row>
    <row r="32" spans="2:34" x14ac:dyDescent="0.25">
      <c r="B32" s="112" t="s">
        <v>1122</v>
      </c>
      <c r="C32" s="57" t="s">
        <v>1123</v>
      </c>
      <c r="D32" s="39" t="s">
        <v>1207</v>
      </c>
      <c r="E32">
        <v>502347</v>
      </c>
      <c r="F32" t="s">
        <v>1166</v>
      </c>
      <c r="G32" s="116" t="s">
        <v>1135</v>
      </c>
      <c r="I32" s="117" t="s">
        <v>1351</v>
      </c>
      <c r="M32" s="39">
        <v>2.9</v>
      </c>
      <c r="Y32" s="39" t="s">
        <v>1400</v>
      </c>
      <c r="Z32" s="39" t="s">
        <v>1137</v>
      </c>
      <c r="AA32" s="39" t="s">
        <v>1352</v>
      </c>
      <c r="AB32" t="s">
        <v>1136</v>
      </c>
      <c r="AH32" s="39" t="s">
        <v>1431</v>
      </c>
    </row>
    <row r="33" spans="2:34" x14ac:dyDescent="0.25">
      <c r="B33" s="112" t="s">
        <v>1122</v>
      </c>
      <c r="C33" s="57" t="s">
        <v>1123</v>
      </c>
      <c r="D33" s="39" t="s">
        <v>1208</v>
      </c>
      <c r="E33">
        <v>502348</v>
      </c>
      <c r="F33" t="s">
        <v>1167</v>
      </c>
      <c r="G33" s="116" t="s">
        <v>1135</v>
      </c>
      <c r="I33" s="117" t="s">
        <v>1353</v>
      </c>
      <c r="M33" s="39">
        <v>2.8</v>
      </c>
      <c r="Y33" s="39" t="s">
        <v>1401</v>
      </c>
      <c r="Z33" s="39" t="s">
        <v>1137</v>
      </c>
      <c r="AA33" s="39" t="s">
        <v>1354</v>
      </c>
      <c r="AB33" s="39" t="s">
        <v>1136</v>
      </c>
      <c r="AH33" s="39" t="s">
        <v>1431</v>
      </c>
    </row>
    <row r="34" spans="2:34" x14ac:dyDescent="0.25">
      <c r="B34" s="112" t="s">
        <v>1122</v>
      </c>
      <c r="C34" s="57" t="s">
        <v>1123</v>
      </c>
      <c r="D34" s="39" t="s">
        <v>1209</v>
      </c>
      <c r="E34">
        <v>502349</v>
      </c>
      <c r="F34" t="s">
        <v>1168</v>
      </c>
      <c r="G34" s="116" t="s">
        <v>1135</v>
      </c>
      <c r="I34" s="117" t="s">
        <v>1355</v>
      </c>
      <c r="M34" s="39">
        <v>2.7</v>
      </c>
      <c r="Y34" s="39" t="s">
        <v>1402</v>
      </c>
      <c r="Z34" s="39" t="s">
        <v>1137</v>
      </c>
      <c r="AA34" s="39" t="s">
        <v>1356</v>
      </c>
      <c r="AB34" t="s">
        <v>1136</v>
      </c>
      <c r="AH34" s="39" t="s">
        <v>1431</v>
      </c>
    </row>
    <row r="35" spans="2:34" x14ac:dyDescent="0.25">
      <c r="B35" s="112" t="s">
        <v>1122</v>
      </c>
      <c r="C35" s="57" t="s">
        <v>1123</v>
      </c>
      <c r="D35" s="39" t="s">
        <v>1210</v>
      </c>
      <c r="E35">
        <v>502350</v>
      </c>
      <c r="F35" t="s">
        <v>1169</v>
      </c>
      <c r="G35" s="116" t="s">
        <v>1135</v>
      </c>
      <c r="I35" s="117" t="s">
        <v>1357</v>
      </c>
      <c r="M35" s="39">
        <v>2.1</v>
      </c>
      <c r="Y35" s="39" t="s">
        <v>1403</v>
      </c>
      <c r="Z35" s="39" t="s">
        <v>1137</v>
      </c>
      <c r="AA35" s="39" t="s">
        <v>1358</v>
      </c>
      <c r="AB35" s="39" t="s">
        <v>1136</v>
      </c>
      <c r="AH35" s="39" t="s">
        <v>1431</v>
      </c>
    </row>
    <row r="36" spans="2:34" x14ac:dyDescent="0.25">
      <c r="B36" s="112" t="s">
        <v>1122</v>
      </c>
      <c r="C36" s="57" t="s">
        <v>1123</v>
      </c>
      <c r="D36" s="39" t="s">
        <v>1211</v>
      </c>
      <c r="E36">
        <v>502351</v>
      </c>
      <c r="F36" t="s">
        <v>1170</v>
      </c>
      <c r="G36" s="116" t="s">
        <v>1135</v>
      </c>
      <c r="I36" s="117" t="s">
        <v>1359</v>
      </c>
      <c r="M36" s="39">
        <v>2.9</v>
      </c>
      <c r="Y36" s="39" t="s">
        <v>1421</v>
      </c>
      <c r="Z36" s="39" t="s">
        <v>1137</v>
      </c>
      <c r="AA36" s="39" t="s">
        <v>1360</v>
      </c>
      <c r="AB36" s="39" t="s">
        <v>1136</v>
      </c>
      <c r="AH36" s="39" t="s">
        <v>1431</v>
      </c>
    </row>
    <row r="37" spans="2:34" x14ac:dyDescent="0.25">
      <c r="B37" s="112" t="s">
        <v>1122</v>
      </c>
      <c r="C37" s="57" t="s">
        <v>1123</v>
      </c>
      <c r="D37" s="39" t="s">
        <v>1212</v>
      </c>
      <c r="E37">
        <v>502352</v>
      </c>
      <c r="F37" t="s">
        <v>1171</v>
      </c>
      <c r="G37" s="116" t="s">
        <v>1135</v>
      </c>
      <c r="I37" s="117" t="s">
        <v>1361</v>
      </c>
      <c r="M37" s="39">
        <v>3</v>
      </c>
      <c r="Y37" s="39" t="s">
        <v>1422</v>
      </c>
      <c r="Z37" s="39" t="s">
        <v>1137</v>
      </c>
      <c r="AA37" s="39" t="s">
        <v>1362</v>
      </c>
      <c r="AB37" s="39" t="s">
        <v>1136</v>
      </c>
      <c r="AH37" s="39" t="s">
        <v>1431</v>
      </c>
    </row>
    <row r="38" spans="2:34" x14ac:dyDescent="0.25">
      <c r="B38" s="112" t="s">
        <v>1122</v>
      </c>
      <c r="C38" s="57" t="s">
        <v>1123</v>
      </c>
      <c r="D38" s="39" t="s">
        <v>1213</v>
      </c>
      <c r="E38">
        <v>502353</v>
      </c>
      <c r="F38" t="s">
        <v>1172</v>
      </c>
      <c r="G38" s="116" t="s">
        <v>1135</v>
      </c>
      <c r="I38" s="117" t="s">
        <v>1363</v>
      </c>
      <c r="M38" s="39">
        <v>3</v>
      </c>
      <c r="Y38" s="39" t="s">
        <v>1423</v>
      </c>
      <c r="Z38" s="39" t="s">
        <v>1137</v>
      </c>
      <c r="AA38" s="39" t="s">
        <v>1366</v>
      </c>
      <c r="AB38" t="s">
        <v>1136</v>
      </c>
      <c r="AH38" s="39" t="s">
        <v>1431</v>
      </c>
    </row>
    <row r="39" spans="2:34" x14ac:dyDescent="0.25">
      <c r="B39" s="112" t="s">
        <v>1122</v>
      </c>
      <c r="C39" s="57" t="s">
        <v>1123</v>
      </c>
      <c r="D39" s="39" t="s">
        <v>1214</v>
      </c>
      <c r="E39">
        <v>502354</v>
      </c>
      <c r="F39" t="s">
        <v>1173</v>
      </c>
      <c r="G39" s="116" t="s">
        <v>1135</v>
      </c>
      <c r="I39" s="117" t="s">
        <v>1364</v>
      </c>
      <c r="M39" s="39">
        <v>4.4000000000000004</v>
      </c>
      <c r="Y39" s="39" t="s">
        <v>1424</v>
      </c>
      <c r="Z39" s="39" t="s">
        <v>1137</v>
      </c>
      <c r="AA39" s="39" t="s">
        <v>1365</v>
      </c>
      <c r="AB39" s="39" t="s">
        <v>1136</v>
      </c>
      <c r="AH39" s="39" t="s">
        <v>1431</v>
      </c>
    </row>
    <row r="40" spans="2:34" x14ac:dyDescent="0.25">
      <c r="B40" s="112" t="s">
        <v>1122</v>
      </c>
      <c r="C40" s="57" t="s">
        <v>1123</v>
      </c>
      <c r="D40" s="39" t="s">
        <v>1215</v>
      </c>
      <c r="E40">
        <v>502355</v>
      </c>
      <c r="F40" t="s">
        <v>1174</v>
      </c>
      <c r="G40" s="116" t="s">
        <v>1135</v>
      </c>
      <c r="I40" s="117" t="s">
        <v>1367</v>
      </c>
      <c r="M40" s="39">
        <v>4.2</v>
      </c>
      <c r="Y40" s="39" t="s">
        <v>1424</v>
      </c>
      <c r="Z40" s="39" t="s">
        <v>1137</v>
      </c>
      <c r="AA40" s="39" t="s">
        <v>1368</v>
      </c>
      <c r="AB40" t="s">
        <v>1136</v>
      </c>
      <c r="AH40" s="39" t="s">
        <v>1431</v>
      </c>
    </row>
    <row r="41" spans="2:34" x14ac:dyDescent="0.25">
      <c r="B41" s="112" t="s">
        <v>1122</v>
      </c>
      <c r="C41" s="57" t="s">
        <v>1123</v>
      </c>
      <c r="D41" s="39" t="s">
        <v>1216</v>
      </c>
      <c r="E41">
        <v>502356</v>
      </c>
      <c r="F41" t="s">
        <v>1175</v>
      </c>
      <c r="G41" s="116" t="s">
        <v>1135</v>
      </c>
      <c r="I41" s="117" t="s">
        <v>1369</v>
      </c>
      <c r="M41" s="39">
        <v>5.9</v>
      </c>
      <c r="Y41" s="39" t="s">
        <v>1425</v>
      </c>
      <c r="Z41" s="39" t="s">
        <v>1137</v>
      </c>
      <c r="AA41" s="39" t="s">
        <v>1370</v>
      </c>
      <c r="AB41" s="39" t="s">
        <v>1136</v>
      </c>
      <c r="AH41" s="39" t="s">
        <v>1431</v>
      </c>
    </row>
    <row r="42" spans="2:34" x14ac:dyDescent="0.25">
      <c r="B42" s="112" t="s">
        <v>1122</v>
      </c>
      <c r="C42" s="57" t="s">
        <v>1123</v>
      </c>
      <c r="D42" s="39" t="s">
        <v>1217</v>
      </c>
      <c r="E42">
        <v>502357</v>
      </c>
      <c r="F42" t="s">
        <v>1176</v>
      </c>
      <c r="G42" s="116" t="s">
        <v>1135</v>
      </c>
      <c r="I42" s="117" t="s">
        <v>1371</v>
      </c>
      <c r="M42" s="39">
        <v>1.1000000000000001</v>
      </c>
      <c r="Y42" s="39" t="s">
        <v>1426</v>
      </c>
      <c r="Z42" s="39" t="s">
        <v>1137</v>
      </c>
      <c r="AA42" s="39" t="s">
        <v>1372</v>
      </c>
      <c r="AB42" s="39" t="s">
        <v>1136</v>
      </c>
      <c r="AH42" s="39" t="s">
        <v>1431</v>
      </c>
    </row>
    <row r="43" spans="2:34" x14ac:dyDescent="0.25">
      <c r="B43" s="112" t="s">
        <v>1122</v>
      </c>
      <c r="C43" s="57" t="s">
        <v>1123</v>
      </c>
      <c r="D43" s="39" t="s">
        <v>1218</v>
      </c>
      <c r="E43">
        <v>502358</v>
      </c>
      <c r="F43" t="s">
        <v>1177</v>
      </c>
      <c r="G43" s="116" t="s">
        <v>1135</v>
      </c>
      <c r="I43" s="117" t="s">
        <v>1373</v>
      </c>
      <c r="M43" s="39">
        <v>1.6</v>
      </c>
      <c r="Y43" s="39" t="s">
        <v>1427</v>
      </c>
      <c r="Z43" s="39" t="s">
        <v>1137</v>
      </c>
      <c r="AA43" s="39" t="s">
        <v>1374</v>
      </c>
      <c r="AB43" s="39" t="s">
        <v>1136</v>
      </c>
      <c r="AH43" s="39" t="s">
        <v>1431</v>
      </c>
    </row>
    <row r="44" spans="2:34" x14ac:dyDescent="0.25">
      <c r="B44" s="112" t="s">
        <v>1122</v>
      </c>
      <c r="C44" s="57" t="s">
        <v>1123</v>
      </c>
      <c r="D44" s="39" t="s">
        <v>1219</v>
      </c>
      <c r="E44">
        <v>502359</v>
      </c>
      <c r="F44" t="s">
        <v>1178</v>
      </c>
      <c r="G44" s="116" t="s">
        <v>1135</v>
      </c>
      <c r="I44" s="117" t="s">
        <v>1375</v>
      </c>
      <c r="M44" s="39">
        <v>1.1000000000000001</v>
      </c>
      <c r="Y44" s="39" t="s">
        <v>1428</v>
      </c>
      <c r="Z44" s="39" t="s">
        <v>1137</v>
      </c>
      <c r="AA44" s="39" t="s">
        <v>1376</v>
      </c>
      <c r="AB44" t="s">
        <v>1136</v>
      </c>
      <c r="AH44" s="39" t="s">
        <v>1431</v>
      </c>
    </row>
    <row r="45" spans="2:34" x14ac:dyDescent="0.25">
      <c r="B45" s="112" t="s">
        <v>1122</v>
      </c>
      <c r="C45" s="57" t="s">
        <v>1123</v>
      </c>
      <c r="D45" s="39" t="s">
        <v>1220</v>
      </c>
      <c r="E45">
        <v>502360</v>
      </c>
      <c r="F45" t="s">
        <v>1179</v>
      </c>
      <c r="G45" s="116" t="s">
        <v>1135</v>
      </c>
      <c r="I45" s="117" t="s">
        <v>1377</v>
      </c>
      <c r="M45" s="39">
        <v>1</v>
      </c>
      <c r="Y45" s="39" t="s">
        <v>1429</v>
      </c>
      <c r="Z45" s="39" t="s">
        <v>1137</v>
      </c>
      <c r="AA45" s="39" t="s">
        <v>1378</v>
      </c>
      <c r="AB45" s="39" t="s">
        <v>1136</v>
      </c>
      <c r="AH45" s="39" t="s">
        <v>1431</v>
      </c>
    </row>
    <row r="46" spans="2:34" x14ac:dyDescent="0.25">
      <c r="B46" s="112" t="s">
        <v>1122</v>
      </c>
      <c r="C46" s="57" t="s">
        <v>1123</v>
      </c>
      <c r="D46" s="39" t="s">
        <v>1221</v>
      </c>
      <c r="E46">
        <v>502361</v>
      </c>
      <c r="F46" t="s">
        <v>1180</v>
      </c>
      <c r="G46" s="116" t="s">
        <v>1135</v>
      </c>
      <c r="I46" s="117" t="s">
        <v>1379</v>
      </c>
      <c r="M46" s="39">
        <v>1.5</v>
      </c>
      <c r="Y46" s="39" t="s">
        <v>1430</v>
      </c>
      <c r="Z46" s="39" t="s">
        <v>1137</v>
      </c>
      <c r="AA46" s="39" t="s">
        <v>1380</v>
      </c>
      <c r="AB46" t="s">
        <v>1136</v>
      </c>
      <c r="AH46" s="39" t="s">
        <v>1431</v>
      </c>
    </row>
    <row r="47" spans="2:34" x14ac:dyDescent="0.25">
      <c r="B47" s="112" t="s">
        <v>1122</v>
      </c>
      <c r="C47" s="57" t="s">
        <v>1123</v>
      </c>
      <c r="D47" s="39" t="s">
        <v>1222</v>
      </c>
      <c r="E47">
        <v>502362</v>
      </c>
      <c r="F47" t="s">
        <v>1181</v>
      </c>
      <c r="G47" s="116" t="s">
        <v>1135</v>
      </c>
      <c r="I47" s="117" t="s">
        <v>1381</v>
      </c>
      <c r="M47" s="39">
        <v>1.4</v>
      </c>
      <c r="Y47" s="39" t="s">
        <v>1404</v>
      </c>
      <c r="Z47" s="39" t="s">
        <v>1137</v>
      </c>
      <c r="AA47" s="39" t="s">
        <v>1382</v>
      </c>
      <c r="AB47" s="39" t="s">
        <v>1136</v>
      </c>
      <c r="AH47" s="39" t="s">
        <v>1431</v>
      </c>
    </row>
    <row r="48" spans="2:34" x14ac:dyDescent="0.25">
      <c r="B48" s="112" t="s">
        <v>1122</v>
      </c>
      <c r="C48" s="57" t="s">
        <v>1123</v>
      </c>
      <c r="D48" s="39" t="s">
        <v>1223</v>
      </c>
      <c r="E48">
        <v>502363</v>
      </c>
      <c r="F48" t="s">
        <v>1182</v>
      </c>
      <c r="G48" s="116" t="s">
        <v>1135</v>
      </c>
      <c r="I48" s="117" t="s">
        <v>1383</v>
      </c>
      <c r="M48" s="39">
        <v>2.1</v>
      </c>
      <c r="Y48" s="39" t="s">
        <v>1405</v>
      </c>
      <c r="Z48" s="39" t="s">
        <v>1137</v>
      </c>
      <c r="AA48" s="39" t="s">
        <v>1384</v>
      </c>
      <c r="AB48" s="39" t="s">
        <v>1136</v>
      </c>
      <c r="AH48" s="39" t="s">
        <v>1431</v>
      </c>
    </row>
    <row r="49" spans="2:34" x14ac:dyDescent="0.25">
      <c r="B49" s="112" t="s">
        <v>1122</v>
      </c>
      <c r="C49" s="57" t="s">
        <v>1123</v>
      </c>
      <c r="D49" s="39" t="s">
        <v>1224</v>
      </c>
      <c r="E49">
        <v>502364</v>
      </c>
      <c r="F49" t="s">
        <v>1183</v>
      </c>
      <c r="G49" s="116" t="s">
        <v>1135</v>
      </c>
      <c r="I49" s="117" t="s">
        <v>1385</v>
      </c>
      <c r="M49" s="39">
        <v>2.9</v>
      </c>
      <c r="Y49" s="39" t="s">
        <v>1406</v>
      </c>
      <c r="Z49" s="39" t="s">
        <v>1137</v>
      </c>
      <c r="AA49" s="39" t="s">
        <v>1386</v>
      </c>
      <c r="AB49" s="39" t="s">
        <v>1136</v>
      </c>
      <c r="AH49" s="39" t="s">
        <v>1431</v>
      </c>
    </row>
    <row r="50" spans="2:34" x14ac:dyDescent="0.25">
      <c r="B50" s="112" t="s">
        <v>1122</v>
      </c>
      <c r="C50" s="57" t="s">
        <v>1123</v>
      </c>
      <c r="D50" s="39" t="s">
        <v>1225</v>
      </c>
      <c r="E50">
        <v>502365</v>
      </c>
      <c r="F50" t="s">
        <v>1184</v>
      </c>
      <c r="G50" s="116" t="s">
        <v>1135</v>
      </c>
      <c r="I50" s="117" t="s">
        <v>1387</v>
      </c>
      <c r="M50" s="39">
        <v>3</v>
      </c>
      <c r="Y50" s="39" t="s">
        <v>1407</v>
      </c>
      <c r="Z50" s="39" t="s">
        <v>1137</v>
      </c>
      <c r="AA50" s="39" t="s">
        <v>1388</v>
      </c>
      <c r="AB50" s="39" t="s">
        <v>1136</v>
      </c>
      <c r="AH50" s="39" t="s">
        <v>1431</v>
      </c>
    </row>
    <row r="51" spans="2:34" x14ac:dyDescent="0.25">
      <c r="B51" s="112" t="s">
        <v>1122</v>
      </c>
      <c r="C51" s="57" t="s">
        <v>1123</v>
      </c>
      <c r="D51" s="39" t="s">
        <v>1226</v>
      </c>
      <c r="E51">
        <v>502366</v>
      </c>
      <c r="F51" t="s">
        <v>1185</v>
      </c>
      <c r="G51" s="116" t="s">
        <v>1135</v>
      </c>
      <c r="I51" s="117" t="s">
        <v>1389</v>
      </c>
      <c r="M51" s="39">
        <v>4.2</v>
      </c>
      <c r="Y51" s="39" t="s">
        <v>1408</v>
      </c>
      <c r="Z51" s="39" t="s">
        <v>1137</v>
      </c>
      <c r="AA51" s="39" t="s">
        <v>1390</v>
      </c>
      <c r="AB51" t="s">
        <v>1136</v>
      </c>
      <c r="AH51" s="39" t="s">
        <v>1431</v>
      </c>
    </row>
  </sheetData>
  <mergeCells count="1">
    <mergeCell ref="AD3:AF3"/>
  </mergeCells>
  <hyperlinks>
    <hyperlink ref="L7" location="CNS_ELECTRO_MATERIAL_HELP" display="CNS_ELECTRO_MATERIAL" xr:uid="{EAF0104B-56E4-4036-8EC0-DBD8A5AFF93C}"/>
    <hyperlink ref="L6" location="Help!A3" display="CNS_ELETRO_MATERIAL" xr:uid="{D9A0F276-3460-4FF3-A9AD-16949DBB41D5}"/>
    <hyperlink ref="AL7" location="AAO336_mounting_orientation_HELP" display="CNS_MOUNTING_ORIENTATION" xr:uid="{62788034-0DC3-430C-B6D4-0D053C3F7D9B}"/>
    <hyperlink ref="C11:C29" r:id="rId1" display="https://www.eaton.com/us/en-us.html" xr:uid="{1F147823-6F38-4C72-B775-3C8608973C72}"/>
    <hyperlink ref="C30:C48" r:id="rId2" display="https://www.eaton.com/us/en-us.html" xr:uid="{A539F4BC-4B5C-4F65-BE20-24126493A454}"/>
    <hyperlink ref="C49:C51" r:id="rId3" display="https://www.eaton.com/us/en-us.html" xr:uid="{42D8F3A7-8F1A-488D-8C66-435F075CA8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BB18-0A34-4BA9-AB46-50ABB7A23B12}">
  <dimension ref="A1:H109"/>
  <sheetViews>
    <sheetView topLeftCell="A60" workbookViewId="0">
      <selection activeCell="A53" sqref="A53:A93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69.570312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40"/>
      <c r="B1" s="40"/>
      <c r="C1" s="40"/>
      <c r="D1" s="41" t="s">
        <v>110</v>
      </c>
      <c r="E1" s="41" t="s">
        <v>110</v>
      </c>
      <c r="F1" s="41" t="s">
        <v>110</v>
      </c>
      <c r="G1" s="41" t="s">
        <v>110</v>
      </c>
      <c r="H1" s="42" t="s">
        <v>110</v>
      </c>
    </row>
    <row r="2" spans="1:8" customFormat="1" ht="57" thickBot="1" x14ac:dyDescent="0.3">
      <c r="A2" s="6" t="s">
        <v>111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43" t="s">
        <v>112</v>
      </c>
    </row>
    <row r="3" spans="1:8" s="47" customFormat="1" ht="48" thickBot="1" x14ac:dyDescent="0.3">
      <c r="A3" s="44" t="s">
        <v>8</v>
      </c>
      <c r="B3" s="45" t="s">
        <v>113</v>
      </c>
      <c r="C3" s="45" t="s">
        <v>113</v>
      </c>
      <c r="D3" s="45" t="s">
        <v>113</v>
      </c>
      <c r="E3" s="45" t="s">
        <v>113</v>
      </c>
      <c r="F3" s="45" t="s">
        <v>113</v>
      </c>
      <c r="G3" s="45" t="s">
        <v>113</v>
      </c>
      <c r="H3" s="46" t="s">
        <v>113</v>
      </c>
    </row>
    <row r="4" spans="1:8" s="50" customFormat="1" ht="15.75" thickBot="1" x14ac:dyDescent="0.25">
      <c r="A4" s="48" t="s">
        <v>69</v>
      </c>
      <c r="B4" s="48" t="s">
        <v>114</v>
      </c>
      <c r="C4" s="48" t="s">
        <v>115</v>
      </c>
      <c r="D4" s="48" t="s">
        <v>116</v>
      </c>
      <c r="E4" s="48" t="s">
        <v>117</v>
      </c>
      <c r="F4" s="48" t="s">
        <v>118</v>
      </c>
      <c r="G4" s="48" t="s">
        <v>119</v>
      </c>
      <c r="H4" s="49" t="s">
        <v>120</v>
      </c>
    </row>
    <row r="5" spans="1:8" ht="15.75" thickBot="1" x14ac:dyDescent="0.3">
      <c r="A5" s="51"/>
      <c r="B5" s="52"/>
      <c r="C5" s="52"/>
      <c r="D5" s="52" t="s">
        <v>121</v>
      </c>
      <c r="E5" s="53" t="s">
        <v>122</v>
      </c>
      <c r="F5" s="52" t="s">
        <v>123</v>
      </c>
      <c r="G5" s="52" t="s">
        <v>124</v>
      </c>
      <c r="H5" s="54"/>
    </row>
    <row r="6" spans="1:8" ht="150" x14ac:dyDescent="0.25">
      <c r="A6" s="34" t="s">
        <v>69</v>
      </c>
      <c r="B6" s="55" t="s">
        <v>125</v>
      </c>
      <c r="C6" s="55" t="s">
        <v>126</v>
      </c>
      <c r="D6" s="55" t="s">
        <v>127</v>
      </c>
      <c r="E6" s="55" t="s">
        <v>128</v>
      </c>
      <c r="F6" s="55" t="s">
        <v>129</v>
      </c>
      <c r="G6" s="55" t="s">
        <v>130</v>
      </c>
      <c r="H6" s="56" t="s">
        <v>131</v>
      </c>
    </row>
    <row r="7" spans="1:8" x14ac:dyDescent="0.25">
      <c r="D7" s="57"/>
    </row>
    <row r="8" spans="1:8" x14ac:dyDescent="0.25">
      <c r="A8">
        <v>502326</v>
      </c>
      <c r="B8" s="39">
        <v>1</v>
      </c>
      <c r="C8" s="114" t="s">
        <v>1121</v>
      </c>
      <c r="D8" s="39" t="s">
        <v>1227</v>
      </c>
      <c r="E8" s="39" t="s">
        <v>1130</v>
      </c>
      <c r="F8" s="39">
        <v>1</v>
      </c>
      <c r="G8" s="39" t="s">
        <v>1138</v>
      </c>
    </row>
    <row r="9" spans="1:8" x14ac:dyDescent="0.25">
      <c r="A9">
        <v>502327</v>
      </c>
      <c r="B9" s="39">
        <v>1</v>
      </c>
      <c r="C9" s="114" t="s">
        <v>1121</v>
      </c>
      <c r="D9" s="39" t="s">
        <v>1228</v>
      </c>
      <c r="E9" s="39" t="s">
        <v>1130</v>
      </c>
      <c r="F9" s="39">
        <v>1</v>
      </c>
      <c r="G9" s="39" t="s">
        <v>1138</v>
      </c>
    </row>
    <row r="10" spans="1:8" x14ac:dyDescent="0.25">
      <c r="A10">
        <v>502328</v>
      </c>
      <c r="B10" s="39">
        <v>1</v>
      </c>
      <c r="C10" s="114" t="s">
        <v>1121</v>
      </c>
      <c r="D10" s="39" t="s">
        <v>1229</v>
      </c>
      <c r="E10" s="39" t="s">
        <v>1130</v>
      </c>
      <c r="F10" s="39">
        <v>1</v>
      </c>
      <c r="G10" s="39" t="s">
        <v>1138</v>
      </c>
    </row>
    <row r="11" spans="1:8" x14ac:dyDescent="0.25">
      <c r="A11">
        <v>502329</v>
      </c>
      <c r="B11" s="39">
        <v>1</v>
      </c>
      <c r="C11" s="114" t="s">
        <v>1121</v>
      </c>
      <c r="D11" s="39" t="s">
        <v>1230</v>
      </c>
      <c r="E11" s="39" t="s">
        <v>1130</v>
      </c>
      <c r="F11" s="39">
        <v>1</v>
      </c>
      <c r="G11" s="39" t="s">
        <v>1138</v>
      </c>
    </row>
    <row r="12" spans="1:8" x14ac:dyDescent="0.25">
      <c r="A12">
        <v>502330</v>
      </c>
      <c r="B12" s="39">
        <v>1</v>
      </c>
      <c r="C12" s="114" t="s">
        <v>1121</v>
      </c>
      <c r="D12" s="39" t="s">
        <v>1231</v>
      </c>
      <c r="E12" s="39" t="s">
        <v>1130</v>
      </c>
      <c r="F12" s="39">
        <v>1</v>
      </c>
      <c r="G12" s="39" t="s">
        <v>1138</v>
      </c>
    </row>
    <row r="13" spans="1:8" x14ac:dyDescent="0.25">
      <c r="A13">
        <v>502331</v>
      </c>
      <c r="B13" s="39">
        <v>1</v>
      </c>
      <c r="C13" s="114" t="s">
        <v>1121</v>
      </c>
      <c r="D13" s="39" t="s">
        <v>1232</v>
      </c>
      <c r="E13" s="39" t="s">
        <v>1130</v>
      </c>
      <c r="F13" s="39">
        <v>1</v>
      </c>
      <c r="G13" s="39" t="s">
        <v>1138</v>
      </c>
    </row>
    <row r="14" spans="1:8" x14ac:dyDescent="0.25">
      <c r="A14">
        <v>502332</v>
      </c>
      <c r="B14" s="39">
        <v>1</v>
      </c>
      <c r="C14" s="114" t="s">
        <v>1121</v>
      </c>
      <c r="D14" s="39" t="s">
        <v>1233</v>
      </c>
      <c r="E14" s="39" t="s">
        <v>1130</v>
      </c>
      <c r="F14" s="39">
        <v>1</v>
      </c>
      <c r="G14" s="39" t="s">
        <v>1138</v>
      </c>
    </row>
    <row r="15" spans="1:8" x14ac:dyDescent="0.25">
      <c r="A15">
        <v>502333</v>
      </c>
      <c r="B15" s="39">
        <v>1</v>
      </c>
      <c r="C15" s="114" t="s">
        <v>1121</v>
      </c>
      <c r="D15" s="39" t="s">
        <v>1234</v>
      </c>
      <c r="E15" s="39" t="s">
        <v>1130</v>
      </c>
      <c r="F15" s="39">
        <v>1</v>
      </c>
      <c r="G15" s="39" t="s">
        <v>1138</v>
      </c>
    </row>
    <row r="16" spans="1:8" x14ac:dyDescent="0.25">
      <c r="A16">
        <v>502334</v>
      </c>
      <c r="B16" s="39">
        <v>1</v>
      </c>
      <c r="C16" s="114" t="s">
        <v>1121</v>
      </c>
      <c r="D16" s="39" t="s">
        <v>1235</v>
      </c>
      <c r="E16" s="39" t="s">
        <v>1130</v>
      </c>
      <c r="F16" s="39">
        <v>1</v>
      </c>
      <c r="G16" s="39" t="s">
        <v>1138</v>
      </c>
    </row>
    <row r="17" spans="1:7" x14ac:dyDescent="0.25">
      <c r="A17">
        <v>502335</v>
      </c>
      <c r="B17" s="39">
        <v>1</v>
      </c>
      <c r="C17" s="114" t="s">
        <v>1121</v>
      </c>
      <c r="D17" s="39" t="s">
        <v>1236</v>
      </c>
      <c r="E17" s="39" t="s">
        <v>1130</v>
      </c>
      <c r="F17" s="39">
        <v>1</v>
      </c>
      <c r="G17" s="39" t="s">
        <v>1138</v>
      </c>
    </row>
    <row r="18" spans="1:7" x14ac:dyDescent="0.25">
      <c r="A18">
        <v>502336</v>
      </c>
      <c r="B18" s="39">
        <v>1</v>
      </c>
      <c r="C18" s="114" t="s">
        <v>1121</v>
      </c>
      <c r="D18" s="39" t="s">
        <v>1237</v>
      </c>
      <c r="E18" s="39" t="s">
        <v>1130</v>
      </c>
      <c r="F18" s="39">
        <v>1</v>
      </c>
      <c r="G18" s="39" t="s">
        <v>1138</v>
      </c>
    </row>
    <row r="19" spans="1:7" x14ac:dyDescent="0.25">
      <c r="A19">
        <v>502337</v>
      </c>
      <c r="B19" s="39">
        <v>1</v>
      </c>
      <c r="C19" s="114" t="s">
        <v>1121</v>
      </c>
      <c r="D19" s="39" t="s">
        <v>1238</v>
      </c>
      <c r="E19" s="39" t="s">
        <v>1130</v>
      </c>
      <c r="F19" s="39">
        <v>1</v>
      </c>
      <c r="G19" s="39" t="s">
        <v>1138</v>
      </c>
    </row>
    <row r="20" spans="1:7" x14ac:dyDescent="0.25">
      <c r="A20">
        <v>502338</v>
      </c>
      <c r="B20" s="39">
        <v>1</v>
      </c>
      <c r="C20" s="114" t="s">
        <v>1121</v>
      </c>
      <c r="D20" s="39" t="s">
        <v>1239</v>
      </c>
      <c r="E20" s="39" t="s">
        <v>1130</v>
      </c>
      <c r="F20" s="39">
        <v>1</v>
      </c>
      <c r="G20" s="39" t="s">
        <v>1138</v>
      </c>
    </row>
    <row r="21" spans="1:7" x14ac:dyDescent="0.25">
      <c r="A21">
        <v>502339</v>
      </c>
      <c r="B21" s="39">
        <v>1</v>
      </c>
      <c r="C21" s="114" t="s">
        <v>1121</v>
      </c>
      <c r="D21" s="39" t="s">
        <v>1240</v>
      </c>
      <c r="E21" s="39" t="s">
        <v>1130</v>
      </c>
      <c r="F21" s="39">
        <v>1</v>
      </c>
      <c r="G21" s="39" t="s">
        <v>1138</v>
      </c>
    </row>
    <row r="22" spans="1:7" x14ac:dyDescent="0.25">
      <c r="A22">
        <v>502340</v>
      </c>
      <c r="B22" s="39">
        <v>1</v>
      </c>
      <c r="C22" s="114" t="s">
        <v>1121</v>
      </c>
      <c r="D22" s="39" t="s">
        <v>1241</v>
      </c>
      <c r="E22" s="39" t="s">
        <v>1130</v>
      </c>
      <c r="F22" s="39">
        <v>1</v>
      </c>
      <c r="G22" s="39" t="s">
        <v>1138</v>
      </c>
    </row>
    <row r="23" spans="1:7" x14ac:dyDescent="0.25">
      <c r="A23">
        <v>502341</v>
      </c>
      <c r="B23" s="39">
        <v>1</v>
      </c>
      <c r="C23" s="114" t="s">
        <v>1121</v>
      </c>
      <c r="D23" s="39" t="s">
        <v>1242</v>
      </c>
      <c r="E23" s="39" t="s">
        <v>1130</v>
      </c>
      <c r="F23" s="39">
        <v>1</v>
      </c>
      <c r="G23" s="39" t="s">
        <v>1138</v>
      </c>
    </row>
    <row r="24" spans="1:7" x14ac:dyDescent="0.25">
      <c r="A24">
        <v>502342</v>
      </c>
      <c r="B24" s="39">
        <v>1</v>
      </c>
      <c r="C24" s="114" t="s">
        <v>1121</v>
      </c>
      <c r="D24" s="39" t="s">
        <v>1243</v>
      </c>
      <c r="E24" s="39" t="s">
        <v>1130</v>
      </c>
      <c r="F24" s="39">
        <v>1</v>
      </c>
      <c r="G24" s="39" t="s">
        <v>1138</v>
      </c>
    </row>
    <row r="25" spans="1:7" x14ac:dyDescent="0.25">
      <c r="A25">
        <v>502343</v>
      </c>
      <c r="B25" s="39">
        <v>1</v>
      </c>
      <c r="C25" s="114" t="s">
        <v>1121</v>
      </c>
      <c r="D25" s="39" t="s">
        <v>1244</v>
      </c>
      <c r="E25" s="39" t="s">
        <v>1130</v>
      </c>
      <c r="F25" s="39">
        <v>1</v>
      </c>
      <c r="G25" s="39" t="s">
        <v>1138</v>
      </c>
    </row>
    <row r="26" spans="1:7" x14ac:dyDescent="0.25">
      <c r="A26">
        <v>502344</v>
      </c>
      <c r="B26" s="39">
        <v>1</v>
      </c>
      <c r="C26" s="114" t="s">
        <v>1121</v>
      </c>
      <c r="D26" s="39" t="s">
        <v>1245</v>
      </c>
      <c r="E26" s="39" t="s">
        <v>1130</v>
      </c>
      <c r="F26" s="39">
        <v>1</v>
      </c>
      <c r="G26" s="39" t="s">
        <v>1138</v>
      </c>
    </row>
    <row r="27" spans="1:7" x14ac:dyDescent="0.25">
      <c r="A27">
        <v>502345</v>
      </c>
      <c r="B27" s="39">
        <v>1</v>
      </c>
      <c r="C27" s="114" t="s">
        <v>1121</v>
      </c>
      <c r="D27" s="39" t="s">
        <v>1246</v>
      </c>
      <c r="E27" s="39" t="s">
        <v>1130</v>
      </c>
      <c r="F27" s="39">
        <v>1</v>
      </c>
      <c r="G27" s="39" t="s">
        <v>1138</v>
      </c>
    </row>
    <row r="28" spans="1:7" x14ac:dyDescent="0.25">
      <c r="A28">
        <v>502346</v>
      </c>
      <c r="B28" s="39">
        <v>1</v>
      </c>
      <c r="C28" s="114" t="s">
        <v>1121</v>
      </c>
      <c r="D28" s="39" t="s">
        <v>1247</v>
      </c>
      <c r="E28" s="39" t="s">
        <v>1130</v>
      </c>
      <c r="F28" s="39">
        <v>1</v>
      </c>
      <c r="G28" s="39" t="s">
        <v>1138</v>
      </c>
    </row>
    <row r="29" spans="1:7" x14ac:dyDescent="0.25">
      <c r="A29">
        <v>502347</v>
      </c>
      <c r="B29" s="39">
        <v>1</v>
      </c>
      <c r="C29" s="114" t="s">
        <v>1121</v>
      </c>
      <c r="D29" s="39" t="s">
        <v>1248</v>
      </c>
      <c r="E29" s="39" t="s">
        <v>1130</v>
      </c>
      <c r="F29" s="39">
        <v>1</v>
      </c>
      <c r="G29" s="39" t="s">
        <v>1138</v>
      </c>
    </row>
    <row r="30" spans="1:7" x14ac:dyDescent="0.25">
      <c r="A30">
        <v>502348</v>
      </c>
      <c r="B30" s="39">
        <v>1</v>
      </c>
      <c r="C30" s="114" t="s">
        <v>1121</v>
      </c>
      <c r="D30" s="39" t="s">
        <v>1249</v>
      </c>
      <c r="E30" s="39" t="s">
        <v>1130</v>
      </c>
      <c r="F30" s="39">
        <v>1</v>
      </c>
      <c r="G30" s="39" t="s">
        <v>1138</v>
      </c>
    </row>
    <row r="31" spans="1:7" x14ac:dyDescent="0.25">
      <c r="A31">
        <v>502349</v>
      </c>
      <c r="B31" s="39">
        <v>1</v>
      </c>
      <c r="C31" s="114" t="s">
        <v>1121</v>
      </c>
      <c r="D31" s="39" t="s">
        <v>1250</v>
      </c>
      <c r="E31" s="39" t="s">
        <v>1130</v>
      </c>
      <c r="F31" s="39">
        <v>1</v>
      </c>
      <c r="G31" s="39" t="s">
        <v>1138</v>
      </c>
    </row>
    <row r="32" spans="1:7" x14ac:dyDescent="0.25">
      <c r="A32">
        <v>502350</v>
      </c>
      <c r="B32" s="39">
        <v>1</v>
      </c>
      <c r="C32" s="114" t="s">
        <v>1121</v>
      </c>
      <c r="D32" s="39" t="s">
        <v>1251</v>
      </c>
      <c r="E32" s="39" t="s">
        <v>1130</v>
      </c>
      <c r="F32" s="39">
        <v>1</v>
      </c>
      <c r="G32" s="39" t="s">
        <v>1138</v>
      </c>
    </row>
    <row r="33" spans="1:7" x14ac:dyDescent="0.25">
      <c r="A33">
        <v>502351</v>
      </c>
      <c r="B33" s="39">
        <v>1</v>
      </c>
      <c r="C33" s="114" t="s">
        <v>1121</v>
      </c>
      <c r="D33" s="39" t="s">
        <v>1252</v>
      </c>
      <c r="E33" s="39" t="s">
        <v>1130</v>
      </c>
      <c r="F33" s="39">
        <v>1</v>
      </c>
      <c r="G33" s="39" t="s">
        <v>1138</v>
      </c>
    </row>
    <row r="34" spans="1:7" x14ac:dyDescent="0.25">
      <c r="A34">
        <v>502352</v>
      </c>
      <c r="B34" s="39">
        <v>1</v>
      </c>
      <c r="C34" s="114" t="s">
        <v>1121</v>
      </c>
      <c r="D34" s="39" t="s">
        <v>1253</v>
      </c>
      <c r="E34" s="39" t="s">
        <v>1130</v>
      </c>
      <c r="F34" s="39">
        <v>1</v>
      </c>
      <c r="G34" s="39" t="s">
        <v>1138</v>
      </c>
    </row>
    <row r="35" spans="1:7" x14ac:dyDescent="0.25">
      <c r="A35">
        <v>502353</v>
      </c>
      <c r="B35" s="39">
        <v>1</v>
      </c>
      <c r="C35" s="114" t="s">
        <v>1121</v>
      </c>
      <c r="D35" s="39" t="s">
        <v>1254</v>
      </c>
      <c r="E35" s="39" t="s">
        <v>1130</v>
      </c>
      <c r="F35" s="39">
        <v>1</v>
      </c>
      <c r="G35" s="39" t="s">
        <v>1138</v>
      </c>
    </row>
    <row r="36" spans="1:7" x14ac:dyDescent="0.25">
      <c r="A36">
        <v>502354</v>
      </c>
      <c r="B36" s="39">
        <v>1</v>
      </c>
      <c r="C36" s="114" t="s">
        <v>1121</v>
      </c>
      <c r="D36" s="39" t="s">
        <v>1255</v>
      </c>
      <c r="E36" s="39" t="s">
        <v>1130</v>
      </c>
      <c r="F36" s="39">
        <v>1</v>
      </c>
      <c r="G36" s="39" t="s">
        <v>1138</v>
      </c>
    </row>
    <row r="37" spans="1:7" x14ac:dyDescent="0.25">
      <c r="A37">
        <v>502355</v>
      </c>
      <c r="B37" s="39">
        <v>1</v>
      </c>
      <c r="C37" s="114" t="s">
        <v>1121</v>
      </c>
      <c r="D37" s="39" t="s">
        <v>1256</v>
      </c>
      <c r="E37" s="39" t="s">
        <v>1130</v>
      </c>
      <c r="F37" s="39">
        <v>1</v>
      </c>
      <c r="G37" s="39" t="s">
        <v>1138</v>
      </c>
    </row>
    <row r="38" spans="1:7" x14ac:dyDescent="0.25">
      <c r="A38">
        <v>502356</v>
      </c>
      <c r="B38" s="39">
        <v>1</v>
      </c>
      <c r="C38" s="114" t="s">
        <v>1121</v>
      </c>
      <c r="D38" s="39" t="s">
        <v>1257</v>
      </c>
      <c r="E38" s="39" t="s">
        <v>1130</v>
      </c>
      <c r="F38" s="39">
        <v>1</v>
      </c>
      <c r="G38" s="39" t="s">
        <v>1138</v>
      </c>
    </row>
    <row r="39" spans="1:7" x14ac:dyDescent="0.25">
      <c r="A39">
        <v>502357</v>
      </c>
      <c r="B39" s="39">
        <v>1</v>
      </c>
      <c r="C39" s="114" t="s">
        <v>1121</v>
      </c>
      <c r="D39" s="39" t="s">
        <v>1258</v>
      </c>
      <c r="E39" s="39" t="s">
        <v>1130</v>
      </c>
      <c r="F39" s="39">
        <v>1</v>
      </c>
      <c r="G39" s="39" t="s">
        <v>1138</v>
      </c>
    </row>
    <row r="40" spans="1:7" x14ac:dyDescent="0.25">
      <c r="A40">
        <v>502358</v>
      </c>
      <c r="B40" s="39">
        <v>1</v>
      </c>
      <c r="C40" s="114" t="s">
        <v>1121</v>
      </c>
      <c r="D40" s="39" t="s">
        <v>1259</v>
      </c>
      <c r="E40" s="39" t="s">
        <v>1130</v>
      </c>
      <c r="F40" s="39">
        <v>1</v>
      </c>
      <c r="G40" s="39" t="s">
        <v>1138</v>
      </c>
    </row>
    <row r="41" spans="1:7" x14ac:dyDescent="0.25">
      <c r="A41">
        <v>502359</v>
      </c>
      <c r="B41" s="39">
        <v>1</v>
      </c>
      <c r="C41" s="114" t="s">
        <v>1121</v>
      </c>
      <c r="D41" s="39" t="s">
        <v>1260</v>
      </c>
      <c r="E41" s="39" t="s">
        <v>1130</v>
      </c>
      <c r="F41" s="39">
        <v>1</v>
      </c>
      <c r="G41" s="39" t="s">
        <v>1138</v>
      </c>
    </row>
    <row r="42" spans="1:7" x14ac:dyDescent="0.25">
      <c r="A42">
        <v>502360</v>
      </c>
      <c r="B42" s="39">
        <v>1</v>
      </c>
      <c r="C42" s="114" t="s">
        <v>1121</v>
      </c>
      <c r="D42" s="39" t="s">
        <v>1261</v>
      </c>
      <c r="E42" s="39" t="s">
        <v>1130</v>
      </c>
      <c r="F42" s="39">
        <v>1</v>
      </c>
      <c r="G42" s="39" t="s">
        <v>1138</v>
      </c>
    </row>
    <row r="43" spans="1:7" x14ac:dyDescent="0.25">
      <c r="A43">
        <v>502361</v>
      </c>
      <c r="B43" s="39">
        <v>1</v>
      </c>
      <c r="C43" s="114" t="s">
        <v>1121</v>
      </c>
      <c r="D43" s="39" t="s">
        <v>1262</v>
      </c>
      <c r="E43" s="39" t="s">
        <v>1130</v>
      </c>
      <c r="F43" s="39">
        <v>1</v>
      </c>
      <c r="G43" s="39" t="s">
        <v>1138</v>
      </c>
    </row>
    <row r="44" spans="1:7" x14ac:dyDescent="0.25">
      <c r="A44">
        <v>502362</v>
      </c>
      <c r="B44" s="39">
        <v>1</v>
      </c>
      <c r="C44" s="114" t="s">
        <v>1121</v>
      </c>
      <c r="D44" s="39" t="s">
        <v>1263</v>
      </c>
      <c r="E44" s="39" t="s">
        <v>1130</v>
      </c>
      <c r="F44" s="39">
        <v>1</v>
      </c>
      <c r="G44" s="39" t="s">
        <v>1138</v>
      </c>
    </row>
    <row r="45" spans="1:7" x14ac:dyDescent="0.25">
      <c r="A45">
        <v>502363</v>
      </c>
      <c r="B45" s="39">
        <v>1</v>
      </c>
      <c r="C45" s="114" t="s">
        <v>1121</v>
      </c>
      <c r="D45" s="39" t="s">
        <v>1264</v>
      </c>
      <c r="E45" s="39" t="s">
        <v>1130</v>
      </c>
      <c r="F45" s="39">
        <v>1</v>
      </c>
      <c r="G45" s="39" t="s">
        <v>1138</v>
      </c>
    </row>
    <row r="46" spans="1:7" x14ac:dyDescent="0.25">
      <c r="A46">
        <v>502364</v>
      </c>
      <c r="B46" s="39">
        <v>1</v>
      </c>
      <c r="C46" s="114" t="s">
        <v>1121</v>
      </c>
      <c r="D46" s="39" t="s">
        <v>1265</v>
      </c>
      <c r="E46" s="39" t="s">
        <v>1130</v>
      </c>
      <c r="F46" s="39">
        <v>1</v>
      </c>
      <c r="G46" s="39" t="s">
        <v>1138</v>
      </c>
    </row>
    <row r="47" spans="1:7" x14ac:dyDescent="0.25">
      <c r="A47">
        <v>502365</v>
      </c>
      <c r="B47" s="39">
        <v>1</v>
      </c>
      <c r="C47" s="114" t="s">
        <v>1121</v>
      </c>
      <c r="D47" s="39" t="s">
        <v>1266</v>
      </c>
      <c r="E47" s="39" t="s">
        <v>1130</v>
      </c>
      <c r="F47" s="39">
        <v>1</v>
      </c>
      <c r="G47" s="39" t="s">
        <v>1138</v>
      </c>
    </row>
    <row r="48" spans="1:7" x14ac:dyDescent="0.25">
      <c r="A48">
        <v>502366</v>
      </c>
      <c r="B48" s="39">
        <v>1</v>
      </c>
      <c r="C48" s="114" t="s">
        <v>1121</v>
      </c>
      <c r="D48" s="39" t="s">
        <v>1267</v>
      </c>
      <c r="E48" s="39" t="s">
        <v>1130</v>
      </c>
      <c r="F48" s="39">
        <v>1</v>
      </c>
      <c r="G48" s="39" t="s">
        <v>1138</v>
      </c>
    </row>
    <row r="51" spans="1:7" x14ac:dyDescent="0.25">
      <c r="A51"/>
    </row>
    <row r="52" spans="1:7" x14ac:dyDescent="0.25">
      <c r="A52"/>
    </row>
    <row r="53" spans="1:7" x14ac:dyDescent="0.25">
      <c r="A53">
        <v>502326</v>
      </c>
      <c r="B53" s="39">
        <v>2</v>
      </c>
      <c r="C53" s="114" t="s">
        <v>1121</v>
      </c>
      <c r="D53" s="39" t="s">
        <v>1268</v>
      </c>
      <c r="E53" s="39" t="s">
        <v>1131</v>
      </c>
      <c r="F53" s="39">
        <v>2</v>
      </c>
      <c r="G53" s="39" t="s">
        <v>1139</v>
      </c>
    </row>
    <row r="54" spans="1:7" x14ac:dyDescent="0.25">
      <c r="A54">
        <v>502327</v>
      </c>
      <c r="B54" s="39">
        <v>2</v>
      </c>
      <c r="C54" s="114" t="s">
        <v>1121</v>
      </c>
      <c r="D54" s="39" t="s">
        <v>1269</v>
      </c>
      <c r="E54" s="39" t="s">
        <v>1131</v>
      </c>
      <c r="F54" s="39">
        <v>2</v>
      </c>
      <c r="G54" s="39" t="s">
        <v>1139</v>
      </c>
    </row>
    <row r="55" spans="1:7" x14ac:dyDescent="0.25">
      <c r="A55">
        <v>502328</v>
      </c>
      <c r="B55" s="39">
        <v>2</v>
      </c>
      <c r="C55" s="114" t="s">
        <v>1121</v>
      </c>
      <c r="D55" s="39" t="s">
        <v>1270</v>
      </c>
      <c r="E55" s="39" t="s">
        <v>1131</v>
      </c>
      <c r="F55" s="39">
        <v>2</v>
      </c>
      <c r="G55" s="39" t="s">
        <v>1139</v>
      </c>
    </row>
    <row r="56" spans="1:7" x14ac:dyDescent="0.25">
      <c r="A56">
        <v>502329</v>
      </c>
      <c r="B56" s="39">
        <v>2</v>
      </c>
      <c r="C56" s="114" t="s">
        <v>1121</v>
      </c>
      <c r="D56" s="39" t="s">
        <v>1271</v>
      </c>
      <c r="E56" s="39" t="s">
        <v>1131</v>
      </c>
      <c r="F56" s="39">
        <v>2</v>
      </c>
      <c r="G56" s="39" t="s">
        <v>1139</v>
      </c>
    </row>
    <row r="57" spans="1:7" x14ac:dyDescent="0.25">
      <c r="A57">
        <v>502330</v>
      </c>
      <c r="B57" s="39">
        <v>2</v>
      </c>
      <c r="C57" s="114" t="s">
        <v>1121</v>
      </c>
      <c r="D57" s="39" t="s">
        <v>1272</v>
      </c>
      <c r="E57" s="39" t="s">
        <v>1131</v>
      </c>
      <c r="F57" s="39">
        <v>2</v>
      </c>
      <c r="G57" s="39" t="s">
        <v>1139</v>
      </c>
    </row>
    <row r="58" spans="1:7" x14ac:dyDescent="0.25">
      <c r="A58">
        <v>502331</v>
      </c>
      <c r="B58" s="39">
        <v>2</v>
      </c>
      <c r="C58" s="114" t="s">
        <v>1121</v>
      </c>
      <c r="D58" s="39" t="s">
        <v>1273</v>
      </c>
      <c r="E58" s="39" t="s">
        <v>1131</v>
      </c>
      <c r="F58" s="39">
        <v>2</v>
      </c>
      <c r="G58" s="39" t="s">
        <v>1139</v>
      </c>
    </row>
    <row r="59" spans="1:7" x14ac:dyDescent="0.25">
      <c r="A59">
        <v>502332</v>
      </c>
      <c r="B59" s="39">
        <v>2</v>
      </c>
      <c r="C59" s="114" t="s">
        <v>1121</v>
      </c>
      <c r="D59" s="39" t="s">
        <v>1274</v>
      </c>
      <c r="E59" s="39" t="s">
        <v>1131</v>
      </c>
      <c r="F59" s="39">
        <v>2</v>
      </c>
      <c r="G59" s="39" t="s">
        <v>1139</v>
      </c>
    </row>
    <row r="60" spans="1:7" x14ac:dyDescent="0.25">
      <c r="A60">
        <v>502333</v>
      </c>
      <c r="B60" s="39">
        <v>2</v>
      </c>
      <c r="C60" s="114" t="s">
        <v>1121</v>
      </c>
      <c r="D60" s="39" t="s">
        <v>1275</v>
      </c>
      <c r="E60" s="39" t="s">
        <v>1131</v>
      </c>
      <c r="F60" s="39">
        <v>2</v>
      </c>
      <c r="G60" s="39" t="s">
        <v>1139</v>
      </c>
    </row>
    <row r="61" spans="1:7" x14ac:dyDescent="0.25">
      <c r="A61">
        <v>502334</v>
      </c>
      <c r="B61" s="39">
        <v>2</v>
      </c>
      <c r="C61" s="114" t="s">
        <v>1121</v>
      </c>
      <c r="D61" s="39" t="s">
        <v>1276</v>
      </c>
      <c r="E61" s="39" t="s">
        <v>1131</v>
      </c>
      <c r="F61" s="39">
        <v>2</v>
      </c>
      <c r="G61" s="39" t="s">
        <v>1139</v>
      </c>
    </row>
    <row r="62" spans="1:7" x14ac:dyDescent="0.25">
      <c r="A62">
        <v>502335</v>
      </c>
      <c r="B62" s="39">
        <v>2</v>
      </c>
      <c r="C62" s="114" t="s">
        <v>1121</v>
      </c>
      <c r="D62" s="39" t="s">
        <v>1277</v>
      </c>
      <c r="E62" s="39" t="s">
        <v>1131</v>
      </c>
      <c r="F62" s="39">
        <v>2</v>
      </c>
      <c r="G62" s="39" t="s">
        <v>1139</v>
      </c>
    </row>
    <row r="63" spans="1:7" x14ac:dyDescent="0.25">
      <c r="A63">
        <v>502336</v>
      </c>
      <c r="B63" s="39">
        <v>2</v>
      </c>
      <c r="C63" s="114" t="s">
        <v>1121</v>
      </c>
      <c r="D63" s="39" t="s">
        <v>1278</v>
      </c>
      <c r="E63" s="39" t="s">
        <v>1131</v>
      </c>
      <c r="F63" s="39">
        <v>2</v>
      </c>
      <c r="G63" s="39" t="s">
        <v>1139</v>
      </c>
    </row>
    <row r="64" spans="1:7" x14ac:dyDescent="0.25">
      <c r="A64">
        <v>502337</v>
      </c>
      <c r="B64" s="39">
        <v>2</v>
      </c>
      <c r="C64" s="114" t="s">
        <v>1121</v>
      </c>
      <c r="D64" s="39" t="s">
        <v>1279</v>
      </c>
      <c r="E64" s="39" t="s">
        <v>1131</v>
      </c>
      <c r="F64" s="39">
        <v>2</v>
      </c>
      <c r="G64" s="39" t="s">
        <v>1139</v>
      </c>
    </row>
    <row r="65" spans="1:7" x14ac:dyDescent="0.25">
      <c r="A65">
        <v>502338</v>
      </c>
      <c r="B65" s="39">
        <v>2</v>
      </c>
      <c r="C65" s="114" t="s">
        <v>1121</v>
      </c>
      <c r="D65" s="39" t="s">
        <v>1280</v>
      </c>
      <c r="E65" s="39" t="s">
        <v>1131</v>
      </c>
      <c r="F65" s="39">
        <v>2</v>
      </c>
      <c r="G65" s="39" t="s">
        <v>1139</v>
      </c>
    </row>
    <row r="66" spans="1:7" x14ac:dyDescent="0.25">
      <c r="A66">
        <v>502339</v>
      </c>
      <c r="B66" s="39">
        <v>2</v>
      </c>
      <c r="C66" s="114" t="s">
        <v>1121</v>
      </c>
      <c r="D66" s="39" t="s">
        <v>1281</v>
      </c>
      <c r="E66" s="39" t="s">
        <v>1131</v>
      </c>
      <c r="F66" s="39">
        <v>2</v>
      </c>
      <c r="G66" s="39" t="s">
        <v>1139</v>
      </c>
    </row>
    <row r="67" spans="1:7" x14ac:dyDescent="0.25">
      <c r="A67">
        <v>502340</v>
      </c>
      <c r="B67" s="39">
        <v>2</v>
      </c>
      <c r="C67" s="114" t="s">
        <v>1121</v>
      </c>
      <c r="D67" s="39" t="s">
        <v>1282</v>
      </c>
      <c r="E67" s="39" t="s">
        <v>1131</v>
      </c>
      <c r="F67" s="39">
        <v>2</v>
      </c>
      <c r="G67" s="39" t="s">
        <v>1139</v>
      </c>
    </row>
    <row r="68" spans="1:7" x14ac:dyDescent="0.25">
      <c r="A68">
        <v>502341</v>
      </c>
      <c r="B68" s="39">
        <v>2</v>
      </c>
      <c r="C68" s="114" t="s">
        <v>1121</v>
      </c>
      <c r="D68" s="39" t="s">
        <v>1283</v>
      </c>
      <c r="E68" s="39" t="s">
        <v>1131</v>
      </c>
      <c r="F68" s="39">
        <v>2</v>
      </c>
      <c r="G68" s="39" t="s">
        <v>1139</v>
      </c>
    </row>
    <row r="69" spans="1:7" x14ac:dyDescent="0.25">
      <c r="A69">
        <v>502342</v>
      </c>
      <c r="B69" s="39">
        <v>2</v>
      </c>
      <c r="C69" s="114" t="s">
        <v>1121</v>
      </c>
      <c r="D69" s="39" t="s">
        <v>1284</v>
      </c>
      <c r="E69" s="39" t="s">
        <v>1131</v>
      </c>
      <c r="F69" s="39">
        <v>2</v>
      </c>
      <c r="G69" s="39" t="s">
        <v>1139</v>
      </c>
    </row>
    <row r="70" spans="1:7" x14ac:dyDescent="0.25">
      <c r="A70">
        <v>502343</v>
      </c>
      <c r="B70" s="39">
        <v>2</v>
      </c>
      <c r="C70" s="114" t="s">
        <v>1121</v>
      </c>
      <c r="D70" s="39" t="s">
        <v>1285</v>
      </c>
      <c r="E70" s="39" t="s">
        <v>1131</v>
      </c>
      <c r="F70" s="39">
        <v>2</v>
      </c>
      <c r="G70" s="39" t="s">
        <v>1139</v>
      </c>
    </row>
    <row r="71" spans="1:7" x14ac:dyDescent="0.25">
      <c r="A71">
        <v>502344</v>
      </c>
      <c r="B71" s="39">
        <v>2</v>
      </c>
      <c r="C71" s="114" t="s">
        <v>1121</v>
      </c>
      <c r="D71" s="39" t="s">
        <v>1286</v>
      </c>
      <c r="E71" s="39" t="s">
        <v>1131</v>
      </c>
      <c r="F71" s="39">
        <v>2</v>
      </c>
      <c r="G71" s="39" t="s">
        <v>1139</v>
      </c>
    </row>
    <row r="72" spans="1:7" x14ac:dyDescent="0.25">
      <c r="A72">
        <v>502345</v>
      </c>
      <c r="B72" s="39">
        <v>2</v>
      </c>
      <c r="C72" s="114" t="s">
        <v>1121</v>
      </c>
      <c r="D72" s="39" t="s">
        <v>1287</v>
      </c>
      <c r="E72" s="39" t="s">
        <v>1131</v>
      </c>
      <c r="F72" s="39">
        <v>2</v>
      </c>
      <c r="G72" s="39" t="s">
        <v>1139</v>
      </c>
    </row>
    <row r="73" spans="1:7" x14ac:dyDescent="0.25">
      <c r="A73">
        <v>502346</v>
      </c>
      <c r="B73" s="39">
        <v>2</v>
      </c>
      <c r="C73" s="114" t="s">
        <v>1121</v>
      </c>
      <c r="D73" s="39" t="s">
        <v>1288</v>
      </c>
      <c r="E73" s="39" t="s">
        <v>1131</v>
      </c>
      <c r="F73" s="39">
        <v>2</v>
      </c>
      <c r="G73" s="39" t="s">
        <v>1139</v>
      </c>
    </row>
    <row r="74" spans="1:7" x14ac:dyDescent="0.25">
      <c r="A74">
        <v>502347</v>
      </c>
      <c r="B74" s="39">
        <v>2</v>
      </c>
      <c r="C74" s="114" t="s">
        <v>1121</v>
      </c>
      <c r="D74" s="39" t="s">
        <v>1289</v>
      </c>
      <c r="E74" s="39" t="s">
        <v>1131</v>
      </c>
      <c r="F74" s="39">
        <v>2</v>
      </c>
      <c r="G74" s="39" t="s">
        <v>1139</v>
      </c>
    </row>
    <row r="75" spans="1:7" x14ac:dyDescent="0.25">
      <c r="A75">
        <v>502348</v>
      </c>
      <c r="B75" s="39">
        <v>2</v>
      </c>
      <c r="C75" s="114" t="s">
        <v>1121</v>
      </c>
      <c r="D75" s="39" t="s">
        <v>1290</v>
      </c>
      <c r="E75" s="39" t="s">
        <v>1131</v>
      </c>
      <c r="F75" s="39">
        <v>2</v>
      </c>
      <c r="G75" s="39" t="s">
        <v>1139</v>
      </c>
    </row>
    <row r="76" spans="1:7" x14ac:dyDescent="0.25">
      <c r="A76">
        <v>502349</v>
      </c>
      <c r="B76" s="39">
        <v>2</v>
      </c>
      <c r="C76" s="114" t="s">
        <v>1121</v>
      </c>
      <c r="D76" s="39" t="s">
        <v>1291</v>
      </c>
      <c r="E76" s="39" t="s">
        <v>1131</v>
      </c>
      <c r="F76" s="39">
        <v>2</v>
      </c>
      <c r="G76" s="39" t="s">
        <v>1139</v>
      </c>
    </row>
    <row r="77" spans="1:7" x14ac:dyDescent="0.25">
      <c r="A77">
        <v>502350</v>
      </c>
      <c r="B77" s="39">
        <v>2</v>
      </c>
      <c r="C77" s="114" t="s">
        <v>1121</v>
      </c>
      <c r="D77" s="39" t="s">
        <v>1292</v>
      </c>
      <c r="E77" s="39" t="s">
        <v>1131</v>
      </c>
      <c r="F77" s="39">
        <v>2</v>
      </c>
      <c r="G77" s="39" t="s">
        <v>1139</v>
      </c>
    </row>
    <row r="78" spans="1:7" x14ac:dyDescent="0.25">
      <c r="A78">
        <v>502351</v>
      </c>
      <c r="B78" s="39">
        <v>2</v>
      </c>
      <c r="C78" s="114" t="s">
        <v>1121</v>
      </c>
      <c r="D78" s="39" t="s">
        <v>1293</v>
      </c>
      <c r="E78" s="39" t="s">
        <v>1131</v>
      </c>
      <c r="F78" s="39">
        <v>2</v>
      </c>
      <c r="G78" s="39" t="s">
        <v>1139</v>
      </c>
    </row>
    <row r="79" spans="1:7" x14ac:dyDescent="0.25">
      <c r="A79">
        <v>502352</v>
      </c>
      <c r="B79" s="39">
        <v>2</v>
      </c>
      <c r="C79" s="114" t="s">
        <v>1121</v>
      </c>
      <c r="D79" s="39" t="s">
        <v>1294</v>
      </c>
      <c r="E79" s="39" t="s">
        <v>1131</v>
      </c>
      <c r="F79" s="39">
        <v>2</v>
      </c>
      <c r="G79" s="39" t="s">
        <v>1139</v>
      </c>
    </row>
    <row r="80" spans="1:7" x14ac:dyDescent="0.25">
      <c r="A80">
        <v>502353</v>
      </c>
      <c r="B80" s="39">
        <v>2</v>
      </c>
      <c r="C80" s="114" t="s">
        <v>1121</v>
      </c>
      <c r="D80" s="39" t="s">
        <v>1295</v>
      </c>
      <c r="E80" s="39" t="s">
        <v>1131</v>
      </c>
      <c r="F80" s="39">
        <v>2</v>
      </c>
      <c r="G80" s="39" t="s">
        <v>1139</v>
      </c>
    </row>
    <row r="81" spans="1:7" x14ac:dyDescent="0.25">
      <c r="A81">
        <v>502354</v>
      </c>
      <c r="B81" s="39">
        <v>2</v>
      </c>
      <c r="C81" s="114" t="s">
        <v>1121</v>
      </c>
      <c r="D81" s="39" t="s">
        <v>1296</v>
      </c>
      <c r="E81" s="39" t="s">
        <v>1131</v>
      </c>
      <c r="F81" s="39">
        <v>2</v>
      </c>
      <c r="G81" s="39" t="s">
        <v>1139</v>
      </c>
    </row>
    <row r="82" spans="1:7" x14ac:dyDescent="0.25">
      <c r="A82">
        <v>502355</v>
      </c>
      <c r="B82" s="39">
        <v>2</v>
      </c>
      <c r="C82" s="114" t="s">
        <v>1121</v>
      </c>
      <c r="D82" s="39" t="s">
        <v>1297</v>
      </c>
      <c r="E82" s="39" t="s">
        <v>1131</v>
      </c>
      <c r="F82" s="39">
        <v>2</v>
      </c>
      <c r="G82" s="39" t="s">
        <v>1139</v>
      </c>
    </row>
    <row r="83" spans="1:7" x14ac:dyDescent="0.25">
      <c r="A83">
        <v>502356</v>
      </c>
      <c r="B83" s="39">
        <v>2</v>
      </c>
      <c r="C83" s="114" t="s">
        <v>1121</v>
      </c>
      <c r="D83" s="39" t="s">
        <v>1298</v>
      </c>
      <c r="E83" s="39" t="s">
        <v>1131</v>
      </c>
      <c r="F83" s="39">
        <v>2</v>
      </c>
      <c r="G83" s="39" t="s">
        <v>1139</v>
      </c>
    </row>
    <row r="84" spans="1:7" x14ac:dyDescent="0.25">
      <c r="A84">
        <v>502357</v>
      </c>
      <c r="B84" s="39">
        <v>2</v>
      </c>
      <c r="C84" s="114" t="s">
        <v>1121</v>
      </c>
      <c r="D84" s="39" t="s">
        <v>1299</v>
      </c>
      <c r="E84" s="39" t="s">
        <v>1131</v>
      </c>
      <c r="F84" s="39">
        <v>2</v>
      </c>
      <c r="G84" s="39" t="s">
        <v>1139</v>
      </c>
    </row>
    <row r="85" spans="1:7" x14ac:dyDescent="0.25">
      <c r="A85">
        <v>502358</v>
      </c>
      <c r="B85" s="39">
        <v>2</v>
      </c>
      <c r="C85" s="114" t="s">
        <v>1121</v>
      </c>
      <c r="D85" s="39" t="s">
        <v>1300</v>
      </c>
      <c r="E85" s="39" t="s">
        <v>1131</v>
      </c>
      <c r="F85" s="39">
        <v>2</v>
      </c>
      <c r="G85" s="39" t="s">
        <v>1139</v>
      </c>
    </row>
    <row r="86" spans="1:7" x14ac:dyDescent="0.25">
      <c r="A86">
        <v>502359</v>
      </c>
      <c r="B86" s="39">
        <v>2</v>
      </c>
      <c r="C86" s="114" t="s">
        <v>1121</v>
      </c>
      <c r="D86" s="39" t="s">
        <v>1301</v>
      </c>
      <c r="E86" s="39" t="s">
        <v>1131</v>
      </c>
      <c r="F86" s="39">
        <v>2</v>
      </c>
      <c r="G86" s="39" t="s">
        <v>1139</v>
      </c>
    </row>
    <row r="87" spans="1:7" x14ac:dyDescent="0.25">
      <c r="A87">
        <v>502360</v>
      </c>
      <c r="B87" s="39">
        <v>2</v>
      </c>
      <c r="C87" s="114" t="s">
        <v>1121</v>
      </c>
      <c r="D87" s="39" t="s">
        <v>1302</v>
      </c>
      <c r="E87" s="39" t="s">
        <v>1131</v>
      </c>
      <c r="F87" s="39">
        <v>2</v>
      </c>
      <c r="G87" s="39" t="s">
        <v>1139</v>
      </c>
    </row>
    <row r="88" spans="1:7" x14ac:dyDescent="0.25">
      <c r="A88">
        <v>502361</v>
      </c>
      <c r="B88" s="39">
        <v>2</v>
      </c>
      <c r="C88" s="114" t="s">
        <v>1121</v>
      </c>
      <c r="D88" s="39" t="s">
        <v>1303</v>
      </c>
      <c r="E88" s="39" t="s">
        <v>1131</v>
      </c>
      <c r="F88" s="39">
        <v>2</v>
      </c>
      <c r="G88" s="39" t="s">
        <v>1139</v>
      </c>
    </row>
    <row r="89" spans="1:7" x14ac:dyDescent="0.25">
      <c r="A89">
        <v>502362</v>
      </c>
      <c r="B89" s="39">
        <v>2</v>
      </c>
      <c r="C89" s="114" t="s">
        <v>1121</v>
      </c>
      <c r="D89" s="39" t="s">
        <v>1304</v>
      </c>
      <c r="E89" s="39" t="s">
        <v>1131</v>
      </c>
      <c r="F89" s="39">
        <v>2</v>
      </c>
      <c r="G89" s="39" t="s">
        <v>1139</v>
      </c>
    </row>
    <row r="90" spans="1:7" x14ac:dyDescent="0.25">
      <c r="A90">
        <v>502363</v>
      </c>
      <c r="B90" s="39">
        <v>2</v>
      </c>
      <c r="C90" s="114" t="s">
        <v>1121</v>
      </c>
      <c r="D90" s="39" t="s">
        <v>1305</v>
      </c>
      <c r="E90" s="39" t="s">
        <v>1131</v>
      </c>
      <c r="F90" s="39">
        <v>2</v>
      </c>
      <c r="G90" s="39" t="s">
        <v>1139</v>
      </c>
    </row>
    <row r="91" spans="1:7" x14ac:dyDescent="0.25">
      <c r="A91">
        <v>502364</v>
      </c>
      <c r="B91" s="39">
        <v>2</v>
      </c>
      <c r="C91" s="114" t="s">
        <v>1121</v>
      </c>
      <c r="D91" s="39" t="s">
        <v>1306</v>
      </c>
      <c r="E91" s="39" t="s">
        <v>1131</v>
      </c>
      <c r="F91" s="39">
        <v>2</v>
      </c>
      <c r="G91" s="39" t="s">
        <v>1139</v>
      </c>
    </row>
    <row r="92" spans="1:7" x14ac:dyDescent="0.25">
      <c r="A92">
        <v>502365</v>
      </c>
      <c r="B92" s="39">
        <v>2</v>
      </c>
      <c r="C92" s="114" t="s">
        <v>1121</v>
      </c>
      <c r="D92" s="39" t="s">
        <v>1307</v>
      </c>
      <c r="E92" s="39" t="s">
        <v>1131</v>
      </c>
      <c r="F92" s="39">
        <v>2</v>
      </c>
      <c r="G92" s="39" t="s">
        <v>1139</v>
      </c>
    </row>
    <row r="93" spans="1:7" x14ac:dyDescent="0.25">
      <c r="A93">
        <v>502366</v>
      </c>
      <c r="B93" s="39">
        <v>2</v>
      </c>
      <c r="C93" s="114" t="s">
        <v>1121</v>
      </c>
      <c r="D93" s="39" t="s">
        <v>1308</v>
      </c>
      <c r="E93" s="39" t="s">
        <v>1131</v>
      </c>
      <c r="F93" s="39">
        <v>2</v>
      </c>
      <c r="G93" s="39" t="s">
        <v>1139</v>
      </c>
    </row>
    <row r="94" spans="1:7" x14ac:dyDescent="0.25">
      <c r="A94"/>
      <c r="C94" s="114"/>
    </row>
    <row r="95" spans="1:7" x14ac:dyDescent="0.25">
      <c r="A95"/>
      <c r="C95" s="114"/>
    </row>
    <row r="96" spans="1:7" x14ac:dyDescent="0.25">
      <c r="A96"/>
      <c r="C96" s="114"/>
    </row>
    <row r="97" spans="1:3" x14ac:dyDescent="0.25">
      <c r="A97"/>
      <c r="C97" s="114"/>
    </row>
    <row r="98" spans="1:3" x14ac:dyDescent="0.25">
      <c r="A98"/>
      <c r="C98" s="114"/>
    </row>
    <row r="99" spans="1:3" x14ac:dyDescent="0.25">
      <c r="A99"/>
      <c r="C99" s="114"/>
    </row>
    <row r="100" spans="1:3" x14ac:dyDescent="0.25">
      <c r="A100"/>
      <c r="C100" s="114"/>
    </row>
    <row r="101" spans="1:3" x14ac:dyDescent="0.25">
      <c r="A101"/>
      <c r="C101" s="114"/>
    </row>
    <row r="102" spans="1:3" x14ac:dyDescent="0.25">
      <c r="A102"/>
      <c r="C102" s="114"/>
    </row>
    <row r="103" spans="1:3" x14ac:dyDescent="0.25">
      <c r="A103"/>
      <c r="C103" s="114"/>
    </row>
    <row r="104" spans="1:3" x14ac:dyDescent="0.25">
      <c r="A104"/>
      <c r="C104" s="114"/>
    </row>
    <row r="105" spans="1:3" x14ac:dyDescent="0.25">
      <c r="A105"/>
      <c r="C105" s="114"/>
    </row>
    <row r="106" spans="1:3" x14ac:dyDescent="0.25">
      <c r="A106"/>
      <c r="C106" s="114"/>
    </row>
    <row r="107" spans="1:3" x14ac:dyDescent="0.25">
      <c r="A107"/>
      <c r="C107" s="114"/>
    </row>
    <row r="108" spans="1:3" x14ac:dyDescent="0.25">
      <c r="A108"/>
      <c r="C108" s="114"/>
    </row>
    <row r="109" spans="1:3" x14ac:dyDescent="0.25">
      <c r="A109"/>
      <c r="C109" s="114"/>
    </row>
  </sheetData>
  <conditionalFormatting sqref="A53 A55:A65">
    <cfRule type="duplicateValues" dxfId="7" priority="1"/>
    <cfRule type="duplicateValues" dxfId="6" priority="2"/>
  </conditionalFormatting>
  <conditionalFormatting sqref="A66:A93"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7528-08E8-4D2D-A915-90646D839491}">
  <dimension ref="A1:EW373"/>
  <sheetViews>
    <sheetView tabSelected="1" zoomScale="85" zoomScaleNormal="85" workbookViewId="0">
      <pane xSplit="4" ySplit="7" topLeftCell="Q288" activePane="bottomRight" state="frozen"/>
      <selection pane="topRight" activeCell="E1" sqref="E1"/>
      <selection pane="bottomLeft" activeCell="A8" sqref="A8"/>
      <selection pane="bottomRight" activeCell="Y300" sqref="Y300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58" t="s">
        <v>1124</v>
      </c>
      <c r="L1" s="39" t="s">
        <v>133</v>
      </c>
      <c r="Q1" s="58" t="s">
        <v>134</v>
      </c>
      <c r="T1" s="58" t="s">
        <v>135</v>
      </c>
      <c r="U1" s="58" t="s">
        <v>135</v>
      </c>
      <c r="V1" s="34" t="s">
        <v>135</v>
      </c>
      <c r="X1" s="58" t="s">
        <v>136</v>
      </c>
      <c r="Y1" s="58" t="s">
        <v>136</v>
      </c>
      <c r="Z1" s="58" t="s">
        <v>136</v>
      </c>
      <c r="AA1" s="58" t="s">
        <v>136</v>
      </c>
      <c r="AB1" s="58" t="s">
        <v>136</v>
      </c>
      <c r="AC1" s="58" t="s">
        <v>136</v>
      </c>
      <c r="AD1" s="58" t="s">
        <v>136</v>
      </c>
      <c r="AF1" s="58" t="s">
        <v>137</v>
      </c>
      <c r="AG1" s="58" t="s">
        <v>137</v>
      </c>
      <c r="AH1" s="58" t="s">
        <v>137</v>
      </c>
      <c r="AI1" s="58" t="s">
        <v>137</v>
      </c>
      <c r="AJ1" s="58" t="s">
        <v>137</v>
      </c>
      <c r="AK1" s="58" t="s">
        <v>137</v>
      </c>
      <c r="AL1" s="58" t="s">
        <v>137</v>
      </c>
      <c r="AM1" s="58" t="s">
        <v>137</v>
      </c>
      <c r="AN1" s="58" t="s">
        <v>137</v>
      </c>
      <c r="AO1" s="58" t="s">
        <v>137</v>
      </c>
      <c r="AP1" s="58" t="s">
        <v>137</v>
      </c>
      <c r="AQ1" s="58" t="s">
        <v>137</v>
      </c>
      <c r="AS1" s="59" t="s">
        <v>138</v>
      </c>
      <c r="AT1" s="59" t="s">
        <v>138</v>
      </c>
      <c r="AU1" s="59" t="s">
        <v>138</v>
      </c>
      <c r="AV1" s="59" t="s">
        <v>138</v>
      </c>
      <c r="AW1" s="59" t="s">
        <v>138</v>
      </c>
      <c r="AX1" s="59" t="s">
        <v>138</v>
      </c>
      <c r="AY1" s="59" t="s">
        <v>138</v>
      </c>
      <c r="AZ1" s="59" t="s">
        <v>138</v>
      </c>
      <c r="BC1" s="58" t="s">
        <v>133</v>
      </c>
      <c r="BE1" s="59" t="s">
        <v>139</v>
      </c>
      <c r="BF1" s="59" t="s">
        <v>139</v>
      </c>
      <c r="BG1" s="59" t="s">
        <v>139</v>
      </c>
      <c r="BH1" s="59" t="s">
        <v>139</v>
      </c>
      <c r="BI1" s="59" t="s">
        <v>139</v>
      </c>
      <c r="BK1" s="58" t="s">
        <v>133</v>
      </c>
      <c r="BL1" s="58" t="s">
        <v>133</v>
      </c>
      <c r="BM1" s="58" t="s">
        <v>133</v>
      </c>
      <c r="BN1" s="58" t="s">
        <v>133</v>
      </c>
      <c r="BO1" s="58" t="s">
        <v>133</v>
      </c>
      <c r="BP1" s="58" t="s">
        <v>133</v>
      </c>
      <c r="BQ1" s="58" t="s">
        <v>133</v>
      </c>
      <c r="BR1" s="58" t="s">
        <v>133</v>
      </c>
      <c r="BS1" s="58" t="s">
        <v>133</v>
      </c>
      <c r="BT1" s="58" t="s">
        <v>133</v>
      </c>
      <c r="BU1" s="58" t="s">
        <v>133</v>
      </c>
      <c r="BV1" s="58" t="s">
        <v>133</v>
      </c>
      <c r="BW1" s="58" t="s">
        <v>133</v>
      </c>
      <c r="BY1" s="58" t="s">
        <v>140</v>
      </c>
      <c r="BZ1" s="58" t="s">
        <v>140</v>
      </c>
      <c r="CA1" s="58" t="s">
        <v>140</v>
      </c>
      <c r="CB1" s="58" t="s">
        <v>140</v>
      </c>
      <c r="CD1" s="58" t="s">
        <v>133</v>
      </c>
      <c r="CE1" s="58" t="s">
        <v>133</v>
      </c>
      <c r="CG1" s="58" t="s">
        <v>133</v>
      </c>
      <c r="CH1" s="58" t="s">
        <v>133</v>
      </c>
      <c r="CJ1" s="58" t="s">
        <v>133</v>
      </c>
      <c r="CK1" s="58" t="s">
        <v>133</v>
      </c>
      <c r="CL1" s="58" t="s">
        <v>133</v>
      </c>
      <c r="CM1" s="58" t="s">
        <v>133</v>
      </c>
      <c r="CN1" s="58" t="s">
        <v>133</v>
      </c>
      <c r="CO1" s="58" t="s">
        <v>133</v>
      </c>
      <c r="CP1" s="58" t="s">
        <v>133</v>
      </c>
      <c r="CR1" s="34" t="s">
        <v>141</v>
      </c>
      <c r="CS1" s="34" t="s">
        <v>141</v>
      </c>
      <c r="CT1" s="34" t="s">
        <v>141</v>
      </c>
      <c r="CU1" s="34" t="s">
        <v>141</v>
      </c>
      <c r="CV1" s="34" t="s">
        <v>141</v>
      </c>
      <c r="CW1" s="34" t="s">
        <v>141</v>
      </c>
      <c r="CX1" s="34" t="s">
        <v>141</v>
      </c>
      <c r="CY1" s="34" t="s">
        <v>141</v>
      </c>
      <c r="CZ1" s="34" t="s">
        <v>141</v>
      </c>
      <c r="DA1" s="34" t="s">
        <v>141</v>
      </c>
      <c r="DB1" s="34" t="s">
        <v>141</v>
      </c>
      <c r="DC1" s="34" t="s">
        <v>141</v>
      </c>
      <c r="DD1" s="34" t="s">
        <v>141</v>
      </c>
      <c r="DF1" s="34" t="s">
        <v>142</v>
      </c>
      <c r="DG1" s="34" t="s">
        <v>142</v>
      </c>
      <c r="DH1" s="34" t="s">
        <v>142</v>
      </c>
      <c r="DI1" s="34" t="s">
        <v>142</v>
      </c>
      <c r="DJ1" s="34" t="s">
        <v>142</v>
      </c>
      <c r="DK1" s="34" t="s">
        <v>142</v>
      </c>
      <c r="DM1" s="59" t="s">
        <v>143</v>
      </c>
      <c r="DN1" s="59" t="s">
        <v>143</v>
      </c>
      <c r="DO1" s="59" t="s">
        <v>143</v>
      </c>
      <c r="DP1" s="59" t="s">
        <v>143</v>
      </c>
      <c r="DQ1" s="59" t="s">
        <v>143</v>
      </c>
      <c r="DW1" s="39" t="s">
        <v>144</v>
      </c>
      <c r="DX1" s="39" t="s">
        <v>144</v>
      </c>
      <c r="DY1" s="39" t="s">
        <v>144</v>
      </c>
      <c r="DZ1" s="39" t="s">
        <v>144</v>
      </c>
      <c r="EA1" s="39" t="s">
        <v>144</v>
      </c>
      <c r="EB1" s="39" t="s">
        <v>144</v>
      </c>
      <c r="ED1" s="59" t="s">
        <v>145</v>
      </c>
      <c r="EE1" s="59" t="s">
        <v>145</v>
      </c>
      <c r="EF1" s="59" t="s">
        <v>145</v>
      </c>
      <c r="EG1" s="59" t="s">
        <v>145</v>
      </c>
      <c r="EH1" s="59" t="s">
        <v>145</v>
      </c>
      <c r="EI1" s="59" t="s">
        <v>145</v>
      </c>
      <c r="EJ1" s="59" t="s">
        <v>145</v>
      </c>
      <c r="EK1" s="59" t="s">
        <v>145</v>
      </c>
      <c r="EL1" s="59" t="s">
        <v>145</v>
      </c>
      <c r="EN1" s="58" t="s">
        <v>146</v>
      </c>
      <c r="EO1" s="58"/>
      <c r="EP1" s="58" t="s">
        <v>146</v>
      </c>
      <c r="EQ1" s="58" t="s">
        <v>146</v>
      </c>
      <c r="ER1" s="58" t="s">
        <v>146</v>
      </c>
      <c r="ES1" s="58" t="s">
        <v>146</v>
      </c>
      <c r="ET1" s="58" t="s">
        <v>146</v>
      </c>
      <c r="EU1" s="58" t="s">
        <v>146</v>
      </c>
      <c r="EV1" s="58" t="s">
        <v>146</v>
      </c>
    </row>
    <row r="2" spans="1:153" s="62" customFormat="1" ht="23.25" customHeight="1" thickBot="1" x14ac:dyDescent="0.3">
      <c r="A2" s="60"/>
      <c r="B2" s="34" t="s">
        <v>148</v>
      </c>
      <c r="C2" s="34"/>
      <c r="D2" s="34"/>
      <c r="E2" s="34"/>
      <c r="F2" s="34"/>
      <c r="G2" s="34" t="s">
        <v>149</v>
      </c>
      <c r="H2" s="34" t="s">
        <v>149</v>
      </c>
      <c r="I2" s="34" t="s">
        <v>149</v>
      </c>
      <c r="J2" s="34" t="s">
        <v>149</v>
      </c>
      <c r="K2" s="34" t="s">
        <v>149</v>
      </c>
      <c r="L2" s="34" t="s">
        <v>150</v>
      </c>
      <c r="M2" s="34" t="s">
        <v>151</v>
      </c>
      <c r="N2" s="34" t="s">
        <v>151</v>
      </c>
      <c r="O2" s="34" t="s">
        <v>152</v>
      </c>
      <c r="P2" s="34" t="s">
        <v>152</v>
      </c>
      <c r="Q2" s="34" t="s">
        <v>152</v>
      </c>
      <c r="R2" s="34"/>
      <c r="S2" s="14"/>
      <c r="T2" s="34" t="s">
        <v>153</v>
      </c>
      <c r="U2" s="34" t="s">
        <v>154</v>
      </c>
      <c r="V2" s="34" t="s">
        <v>153</v>
      </c>
      <c r="W2" s="14"/>
      <c r="X2" s="34" t="s">
        <v>155</v>
      </c>
      <c r="Y2" s="34" t="s">
        <v>155</v>
      </c>
      <c r="Z2" s="34" t="s">
        <v>155</v>
      </c>
      <c r="AA2" s="34" t="s">
        <v>155</v>
      </c>
      <c r="AB2" s="34" t="s">
        <v>155</v>
      </c>
      <c r="AC2" s="34" t="s">
        <v>155</v>
      </c>
      <c r="AD2" s="34" t="s">
        <v>155</v>
      </c>
      <c r="AE2" s="14"/>
      <c r="AF2" s="34" t="s">
        <v>156</v>
      </c>
      <c r="AG2" s="34" t="s">
        <v>156</v>
      </c>
      <c r="AH2" s="34" t="s">
        <v>156</v>
      </c>
      <c r="AI2" s="34" t="s">
        <v>156</v>
      </c>
      <c r="AJ2" s="34" t="s">
        <v>156</v>
      </c>
      <c r="AK2" s="34" t="s">
        <v>156</v>
      </c>
      <c r="AL2" s="34" t="s">
        <v>157</v>
      </c>
      <c r="AM2" s="34" t="s">
        <v>157</v>
      </c>
      <c r="AN2" s="34" t="s">
        <v>157</v>
      </c>
      <c r="AO2" s="34" t="s">
        <v>157</v>
      </c>
      <c r="AP2" s="34" t="s">
        <v>157</v>
      </c>
      <c r="AQ2" s="34" t="s">
        <v>157</v>
      </c>
      <c r="AR2" s="14"/>
      <c r="AS2" s="34" t="s">
        <v>158</v>
      </c>
      <c r="AT2" s="34" t="s">
        <v>158</v>
      </c>
      <c r="AU2" s="34" t="s">
        <v>158</v>
      </c>
      <c r="AV2" s="34" t="s">
        <v>158</v>
      </c>
      <c r="AW2" s="34" t="s">
        <v>158</v>
      </c>
      <c r="AX2" s="34" t="s">
        <v>158</v>
      </c>
      <c r="AY2" s="34" t="s">
        <v>158</v>
      </c>
      <c r="AZ2" s="34" t="s">
        <v>158</v>
      </c>
      <c r="BA2" s="14"/>
      <c r="BB2" s="34" t="s">
        <v>151</v>
      </c>
      <c r="BC2" s="34" t="s">
        <v>150</v>
      </c>
      <c r="BD2" s="14"/>
      <c r="BE2" s="34" t="s">
        <v>159</v>
      </c>
      <c r="BF2" s="34" t="s">
        <v>159</v>
      </c>
      <c r="BG2" s="34" t="s">
        <v>159</v>
      </c>
      <c r="BH2" s="34" t="s">
        <v>159</v>
      </c>
      <c r="BI2" s="34" t="s">
        <v>159</v>
      </c>
      <c r="BJ2" s="14"/>
      <c r="BK2" s="34" t="s">
        <v>150</v>
      </c>
      <c r="BL2" s="34" t="s">
        <v>150</v>
      </c>
      <c r="BM2" s="34" t="s">
        <v>150</v>
      </c>
      <c r="BN2" s="34" t="s">
        <v>150</v>
      </c>
      <c r="BO2" s="34" t="s">
        <v>150</v>
      </c>
      <c r="BP2" s="34" t="s">
        <v>150</v>
      </c>
      <c r="BQ2" s="34" t="s">
        <v>150</v>
      </c>
      <c r="BR2" s="34" t="s">
        <v>150</v>
      </c>
      <c r="BS2" s="34" t="s">
        <v>150</v>
      </c>
      <c r="BT2" s="34" t="s">
        <v>150</v>
      </c>
      <c r="BU2" s="34" t="s">
        <v>150</v>
      </c>
      <c r="BV2" s="34" t="s">
        <v>150</v>
      </c>
      <c r="BW2" s="34" t="s">
        <v>150</v>
      </c>
      <c r="BX2" s="14"/>
      <c r="BY2" s="34" t="s">
        <v>160</v>
      </c>
      <c r="BZ2" s="34" t="s">
        <v>160</v>
      </c>
      <c r="CA2" s="34" t="s">
        <v>160</v>
      </c>
      <c r="CB2" s="34" t="s">
        <v>160</v>
      </c>
      <c r="CC2" s="14"/>
      <c r="CD2" s="34" t="s">
        <v>150</v>
      </c>
      <c r="CE2" s="34" t="s">
        <v>150</v>
      </c>
      <c r="CF2" s="14"/>
      <c r="CG2" s="34" t="s">
        <v>150</v>
      </c>
      <c r="CH2" s="34" t="s">
        <v>150</v>
      </c>
      <c r="CI2" s="14"/>
      <c r="CJ2" s="34" t="s">
        <v>150</v>
      </c>
      <c r="CK2" s="34" t="s">
        <v>150</v>
      </c>
      <c r="CL2" s="34" t="s">
        <v>150</v>
      </c>
      <c r="CM2" s="34" t="s">
        <v>150</v>
      </c>
      <c r="CN2" s="34" t="s">
        <v>150</v>
      </c>
      <c r="CO2" s="34" t="s">
        <v>150</v>
      </c>
      <c r="CP2" s="34" t="s">
        <v>150</v>
      </c>
      <c r="CQ2" s="14"/>
      <c r="CR2" s="34" t="s">
        <v>161</v>
      </c>
      <c r="CS2" s="34" t="s">
        <v>161</v>
      </c>
      <c r="CT2" s="34" t="s">
        <v>161</v>
      </c>
      <c r="CU2" s="34" t="s">
        <v>161</v>
      </c>
      <c r="CV2" s="34" t="s">
        <v>161</v>
      </c>
      <c r="CW2" s="34" t="s">
        <v>161</v>
      </c>
      <c r="CX2" s="34" t="s">
        <v>161</v>
      </c>
      <c r="CY2" s="34" t="s">
        <v>161</v>
      </c>
      <c r="CZ2" s="34" t="s">
        <v>161</v>
      </c>
      <c r="DA2" s="34" t="s">
        <v>161</v>
      </c>
      <c r="DB2" s="34" t="s">
        <v>161</v>
      </c>
      <c r="DC2" s="34" t="s">
        <v>161</v>
      </c>
      <c r="DD2" s="34" t="s">
        <v>161</v>
      </c>
      <c r="DE2" s="14"/>
      <c r="DF2" s="34" t="s">
        <v>162</v>
      </c>
      <c r="DG2" s="34" t="s">
        <v>162</v>
      </c>
      <c r="DH2" s="34" t="s">
        <v>162</v>
      </c>
      <c r="DI2" s="34" t="s">
        <v>162</v>
      </c>
      <c r="DJ2" s="34" t="s">
        <v>162</v>
      </c>
      <c r="DK2" s="34" t="s">
        <v>162</v>
      </c>
      <c r="DL2" s="61"/>
      <c r="DM2" s="34" t="s">
        <v>163</v>
      </c>
      <c r="DN2" s="34" t="s">
        <v>163</v>
      </c>
      <c r="DO2" s="34" t="s">
        <v>163</v>
      </c>
      <c r="DP2" s="34" t="s">
        <v>163</v>
      </c>
      <c r="DQ2" s="34" t="s">
        <v>163</v>
      </c>
      <c r="DR2" s="61"/>
      <c r="DS2" s="34" t="s">
        <v>164</v>
      </c>
      <c r="DT2" s="34" t="s">
        <v>164</v>
      </c>
      <c r="DU2" s="34" t="s">
        <v>164</v>
      </c>
      <c r="DV2" s="61"/>
      <c r="DW2" s="34" t="s">
        <v>165</v>
      </c>
      <c r="DX2" s="34" t="s">
        <v>165</v>
      </c>
      <c r="DY2" s="34" t="s">
        <v>165</v>
      </c>
      <c r="DZ2" s="34" t="s">
        <v>165</v>
      </c>
      <c r="EA2" s="34" t="s">
        <v>165</v>
      </c>
      <c r="EB2" s="34" t="s">
        <v>165</v>
      </c>
      <c r="EC2" s="61"/>
      <c r="ED2" s="34" t="s">
        <v>166</v>
      </c>
      <c r="EE2" s="34" t="s">
        <v>166</v>
      </c>
      <c r="EF2" s="34" t="s">
        <v>166</v>
      </c>
      <c r="EG2" s="34" t="s">
        <v>166</v>
      </c>
      <c r="EH2" s="34" t="s">
        <v>166</v>
      </c>
      <c r="EI2" s="34" t="s">
        <v>166</v>
      </c>
      <c r="EJ2" s="34" t="s">
        <v>166</v>
      </c>
      <c r="EK2" s="34" t="s">
        <v>166</v>
      </c>
      <c r="EL2" s="34" t="s">
        <v>166</v>
      </c>
      <c r="EM2" s="61"/>
      <c r="EN2" s="34" t="s">
        <v>167</v>
      </c>
      <c r="EO2" s="34" t="s">
        <v>167</v>
      </c>
      <c r="EP2" s="34" t="s">
        <v>167</v>
      </c>
      <c r="EQ2" s="34" t="s">
        <v>167</v>
      </c>
      <c r="ER2" s="34" t="s">
        <v>167</v>
      </c>
      <c r="ES2" s="34" t="s">
        <v>167</v>
      </c>
      <c r="ET2" s="34" t="s">
        <v>167</v>
      </c>
      <c r="EU2" s="34" t="s">
        <v>167</v>
      </c>
      <c r="EV2" s="34" t="s">
        <v>167</v>
      </c>
      <c r="EW2" s="61"/>
    </row>
    <row r="3" spans="1:153" customFormat="1" ht="19.5" customHeight="1" thickBot="1" x14ac:dyDescent="0.3">
      <c r="A3" s="59" t="s">
        <v>1125</v>
      </c>
      <c r="B3" s="63" t="s">
        <v>169</v>
      </c>
      <c r="C3" s="6" t="s">
        <v>3</v>
      </c>
      <c r="D3" s="10" t="s">
        <v>170</v>
      </c>
      <c r="E3" s="7" t="s">
        <v>4</v>
      </c>
      <c r="F3" s="7" t="s">
        <v>4</v>
      </c>
      <c r="G3" s="10" t="s">
        <v>171</v>
      </c>
      <c r="H3" s="7" t="s">
        <v>4</v>
      </c>
      <c r="I3" s="7" t="s">
        <v>4</v>
      </c>
      <c r="J3" s="7" t="s">
        <v>4</v>
      </c>
      <c r="K3" s="7" t="s">
        <v>4</v>
      </c>
      <c r="L3" s="64" t="s">
        <v>172</v>
      </c>
      <c r="M3" s="6" t="s">
        <v>173</v>
      </c>
      <c r="N3" s="64" t="s">
        <v>172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173</v>
      </c>
      <c r="U3" s="6" t="s">
        <v>173</v>
      </c>
      <c r="V3" s="6" t="s">
        <v>173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173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173</v>
      </c>
      <c r="BF3" s="6" t="s">
        <v>173</v>
      </c>
      <c r="BG3" s="6" t="s">
        <v>173</v>
      </c>
      <c r="BH3" s="7" t="s">
        <v>4</v>
      </c>
      <c r="BI3" s="6" t="s">
        <v>3</v>
      </c>
      <c r="BJ3" s="14"/>
      <c r="BK3" s="6" t="s">
        <v>173</v>
      </c>
      <c r="BL3" s="6" t="s">
        <v>173</v>
      </c>
      <c r="BM3" s="6" t="s">
        <v>173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173</v>
      </c>
      <c r="BW3" s="7" t="s">
        <v>4</v>
      </c>
      <c r="BX3" s="14"/>
      <c r="BY3" s="6" t="s">
        <v>173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173</v>
      </c>
      <c r="CS3" s="10" t="s">
        <v>171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22" t="s">
        <v>174</v>
      </c>
      <c r="DA3" s="123"/>
      <c r="DB3" s="7" t="s">
        <v>4</v>
      </c>
      <c r="DC3" s="7" t="s">
        <v>4</v>
      </c>
      <c r="DD3" s="7" t="s">
        <v>4</v>
      </c>
      <c r="DE3" s="14"/>
      <c r="DF3" s="10" t="s">
        <v>171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171</v>
      </c>
      <c r="DN3" s="7" t="s">
        <v>4</v>
      </c>
      <c r="DO3" s="7" t="s">
        <v>4</v>
      </c>
      <c r="DP3" s="7" t="s">
        <v>4</v>
      </c>
      <c r="DQ3" s="10" t="s">
        <v>171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171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x14ac:dyDescent="0.25">
      <c r="A4" s="13" t="s">
        <v>1126</v>
      </c>
      <c r="C4" s="13" t="s">
        <v>8</v>
      </c>
      <c r="D4" s="13" t="s">
        <v>12</v>
      </c>
      <c r="E4" s="13" t="s">
        <v>176</v>
      </c>
      <c r="F4" s="13" t="s">
        <v>176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65" t="s">
        <v>12</v>
      </c>
      <c r="CK4" s="65" t="s">
        <v>12</v>
      </c>
      <c r="CL4" s="65" t="s">
        <v>12</v>
      </c>
      <c r="CM4" s="65" t="s">
        <v>12</v>
      </c>
      <c r="CN4" s="65" t="s">
        <v>12</v>
      </c>
      <c r="CO4" s="65" t="s">
        <v>12</v>
      </c>
      <c r="CP4" s="6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6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66"/>
      <c r="DS4" s="13" t="s">
        <v>12</v>
      </c>
      <c r="DT4" s="13" t="s">
        <v>12</v>
      </c>
      <c r="DU4" s="13" t="s">
        <v>12</v>
      </c>
      <c r="DV4" s="6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6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6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66"/>
    </row>
    <row r="5" spans="1:153" customFormat="1" ht="37.5" x14ac:dyDescent="0.25">
      <c r="A5" s="59" t="s">
        <v>1127</v>
      </c>
      <c r="B5" s="18" t="s">
        <v>13</v>
      </c>
      <c r="C5" s="20" t="s">
        <v>17</v>
      </c>
      <c r="D5" s="20" t="s">
        <v>178</v>
      </c>
      <c r="E5" s="67" t="s">
        <v>179</v>
      </c>
      <c r="F5" s="67" t="s">
        <v>180</v>
      </c>
      <c r="G5" s="20" t="s">
        <v>181</v>
      </c>
      <c r="H5" s="20" t="s">
        <v>182</v>
      </c>
      <c r="I5" s="20" t="s">
        <v>182</v>
      </c>
      <c r="J5" s="20" t="s">
        <v>183</v>
      </c>
      <c r="K5" s="20" t="s">
        <v>184</v>
      </c>
      <c r="L5" s="20" t="s">
        <v>185</v>
      </c>
      <c r="M5" s="20" t="s">
        <v>186</v>
      </c>
      <c r="N5" s="20" t="s">
        <v>187</v>
      </c>
      <c r="O5" s="23" t="s">
        <v>188</v>
      </c>
      <c r="P5" s="23" t="s">
        <v>189</v>
      </c>
      <c r="Q5" s="23" t="s">
        <v>190</v>
      </c>
      <c r="R5" s="23" t="s">
        <v>191</v>
      </c>
      <c r="S5" s="25"/>
      <c r="T5" s="23" t="s">
        <v>192</v>
      </c>
      <c r="U5" s="23" t="s">
        <v>193</v>
      </c>
      <c r="V5" s="23" t="s">
        <v>194</v>
      </c>
      <c r="W5" s="25"/>
      <c r="X5" s="23" t="s">
        <v>195</v>
      </c>
      <c r="Y5" s="23" t="s">
        <v>196</v>
      </c>
      <c r="Z5" s="23" t="s">
        <v>197</v>
      </c>
      <c r="AA5" s="23" t="s">
        <v>198</v>
      </c>
      <c r="AB5" s="23" t="s">
        <v>199</v>
      </c>
      <c r="AC5" s="23" t="s">
        <v>200</v>
      </c>
      <c r="AD5" s="23" t="s">
        <v>201</v>
      </c>
      <c r="AE5" s="25"/>
      <c r="AF5" s="23" t="s">
        <v>202</v>
      </c>
      <c r="AG5" s="23" t="s">
        <v>203</v>
      </c>
      <c r="AH5" s="23" t="s">
        <v>204</v>
      </c>
      <c r="AI5" s="23" t="s">
        <v>205</v>
      </c>
      <c r="AJ5" s="23" t="s">
        <v>205</v>
      </c>
      <c r="AK5" s="23" t="s">
        <v>206</v>
      </c>
      <c r="AL5" s="23" t="s">
        <v>207</v>
      </c>
      <c r="AM5" s="68" t="s">
        <v>208</v>
      </c>
      <c r="AN5" s="23" t="s">
        <v>209</v>
      </c>
      <c r="AO5" s="23" t="s">
        <v>210</v>
      </c>
      <c r="AP5" s="23" t="s">
        <v>211</v>
      </c>
      <c r="AQ5" s="19" t="s">
        <v>212</v>
      </c>
      <c r="AR5" s="25"/>
      <c r="AS5" s="23" t="s">
        <v>213</v>
      </c>
      <c r="AT5" s="23" t="s">
        <v>213</v>
      </c>
      <c r="AU5" s="23" t="s">
        <v>214</v>
      </c>
      <c r="AV5" s="23" t="s">
        <v>215</v>
      </c>
      <c r="AW5" s="23" t="s">
        <v>216</v>
      </c>
      <c r="AX5" s="23" t="s">
        <v>217</v>
      </c>
      <c r="AY5" s="23" t="s">
        <v>218</v>
      </c>
      <c r="AZ5" s="23" t="s">
        <v>218</v>
      </c>
      <c r="BA5" s="25"/>
      <c r="BB5" s="20" t="s">
        <v>219</v>
      </c>
      <c r="BC5" s="20" t="s">
        <v>220</v>
      </c>
      <c r="BD5" s="25"/>
      <c r="BE5" s="20" t="s">
        <v>221</v>
      </c>
      <c r="BF5" s="20" t="s">
        <v>222</v>
      </c>
      <c r="BG5" s="20" t="s">
        <v>223</v>
      </c>
      <c r="BH5" s="20" t="s">
        <v>224</v>
      </c>
      <c r="BI5" s="19" t="s">
        <v>225</v>
      </c>
      <c r="BJ5" s="25"/>
      <c r="BK5" s="19" t="s">
        <v>226</v>
      </c>
      <c r="BL5" s="19" t="s">
        <v>227</v>
      </c>
      <c r="BM5" s="20" t="s">
        <v>228</v>
      </c>
      <c r="BN5" s="20" t="s">
        <v>229</v>
      </c>
      <c r="BO5" s="20" t="s">
        <v>230</v>
      </c>
      <c r="BP5" s="20" t="s">
        <v>231</v>
      </c>
      <c r="BQ5" s="20" t="s">
        <v>232</v>
      </c>
      <c r="BR5" s="20" t="s">
        <v>233</v>
      </c>
      <c r="BS5" s="20" t="s">
        <v>234</v>
      </c>
      <c r="BT5" s="20" t="s">
        <v>235</v>
      </c>
      <c r="BU5" s="23" t="s">
        <v>236</v>
      </c>
      <c r="BV5" s="23" t="s">
        <v>237</v>
      </c>
      <c r="BW5" s="23" t="s">
        <v>238</v>
      </c>
      <c r="BX5" s="25"/>
      <c r="BY5" s="20" t="s">
        <v>221</v>
      </c>
      <c r="BZ5" s="23" t="s">
        <v>239</v>
      </c>
      <c r="CA5" s="23" t="s">
        <v>240</v>
      </c>
      <c r="CB5" s="20" t="s">
        <v>241</v>
      </c>
      <c r="CC5" s="25"/>
      <c r="CD5" s="23" t="s">
        <v>242</v>
      </c>
      <c r="CE5" s="23" t="s">
        <v>243</v>
      </c>
      <c r="CF5" s="25"/>
      <c r="CG5" s="20" t="s">
        <v>244</v>
      </c>
      <c r="CH5" s="20" t="s">
        <v>245</v>
      </c>
      <c r="CI5" s="25"/>
      <c r="CJ5" s="19" t="s">
        <v>246</v>
      </c>
      <c r="CK5" s="19" t="s">
        <v>247</v>
      </c>
      <c r="CL5" s="19" t="s">
        <v>248</v>
      </c>
      <c r="CM5" s="19" t="s">
        <v>249</v>
      </c>
      <c r="CN5" s="19" t="s">
        <v>250</v>
      </c>
      <c r="CO5" s="19" t="s">
        <v>251</v>
      </c>
      <c r="CP5" s="19" t="s">
        <v>252</v>
      </c>
      <c r="CQ5" s="25"/>
      <c r="CR5" s="23" t="s">
        <v>202</v>
      </c>
      <c r="CS5" s="69" t="s">
        <v>221</v>
      </c>
      <c r="CT5" s="20" t="s">
        <v>253</v>
      </c>
      <c r="CU5" s="20" t="s">
        <v>254</v>
      </c>
      <c r="CV5" s="70" t="s">
        <v>255</v>
      </c>
      <c r="CW5" s="71" t="s">
        <v>256</v>
      </c>
      <c r="CX5" s="72" t="s">
        <v>104</v>
      </c>
      <c r="CY5" s="71" t="s">
        <v>257</v>
      </c>
      <c r="CZ5" s="71" t="s">
        <v>258</v>
      </c>
      <c r="DA5" s="71" t="s">
        <v>258</v>
      </c>
      <c r="DB5" s="71" t="s">
        <v>259</v>
      </c>
      <c r="DC5" s="71" t="s">
        <v>260</v>
      </c>
      <c r="DD5" s="71" t="s">
        <v>261</v>
      </c>
      <c r="DE5" s="25"/>
      <c r="DF5" s="71" t="s">
        <v>262</v>
      </c>
      <c r="DG5" s="71" t="s">
        <v>263</v>
      </c>
      <c r="DH5" s="71" t="s">
        <v>264</v>
      </c>
      <c r="DI5" s="71" t="s">
        <v>265</v>
      </c>
      <c r="DJ5" s="71" t="s">
        <v>266</v>
      </c>
      <c r="DK5" s="71" t="s">
        <v>267</v>
      </c>
      <c r="DL5" s="25"/>
      <c r="DM5" s="71" t="s">
        <v>221</v>
      </c>
      <c r="DN5" s="71" t="s">
        <v>268</v>
      </c>
      <c r="DO5" s="71" t="s">
        <v>269</v>
      </c>
      <c r="DP5" s="71" t="s">
        <v>270</v>
      </c>
      <c r="DQ5" s="71" t="s">
        <v>269</v>
      </c>
      <c r="DR5" s="25"/>
      <c r="DS5" s="72" t="s">
        <v>271</v>
      </c>
      <c r="DT5" s="72" t="s">
        <v>271</v>
      </c>
      <c r="DU5" s="72" t="s">
        <v>271</v>
      </c>
      <c r="DV5" s="25"/>
      <c r="DW5" s="73" t="s">
        <v>104</v>
      </c>
      <c r="DX5" s="73" t="s">
        <v>104</v>
      </c>
      <c r="DY5" s="73" t="s">
        <v>104</v>
      </c>
      <c r="DZ5" s="73" t="s">
        <v>104</v>
      </c>
      <c r="EA5" s="73" t="s">
        <v>104</v>
      </c>
      <c r="EB5" s="73" t="s">
        <v>104</v>
      </c>
      <c r="EC5" s="25"/>
      <c r="ED5" s="74" t="s">
        <v>272</v>
      </c>
      <c r="EE5" s="20" t="s">
        <v>273</v>
      </c>
      <c r="EF5" s="20" t="s">
        <v>274</v>
      </c>
      <c r="EG5" s="20" t="s">
        <v>275</v>
      </c>
      <c r="EH5" s="23" t="s">
        <v>276</v>
      </c>
      <c r="EI5" s="23" t="s">
        <v>277</v>
      </c>
      <c r="EJ5" s="23" t="s">
        <v>278</v>
      </c>
      <c r="EK5" s="23" t="s">
        <v>279</v>
      </c>
      <c r="EL5" s="23" t="s">
        <v>280</v>
      </c>
      <c r="EM5" s="25"/>
      <c r="EN5" s="71" t="s">
        <v>221</v>
      </c>
      <c r="EO5" s="74" t="s">
        <v>272</v>
      </c>
      <c r="EP5" s="20" t="s">
        <v>273</v>
      </c>
      <c r="EQ5" s="20" t="s">
        <v>274</v>
      </c>
      <c r="ER5" s="20" t="s">
        <v>275</v>
      </c>
      <c r="ES5" s="23" t="s">
        <v>276</v>
      </c>
      <c r="ET5" s="23" t="s">
        <v>277</v>
      </c>
      <c r="EU5" s="23" t="s">
        <v>278</v>
      </c>
      <c r="EV5" s="23" t="s">
        <v>281</v>
      </c>
      <c r="EW5" s="25"/>
    </row>
    <row r="6" spans="1:153" customFormat="1" ht="46.5" customHeight="1" x14ac:dyDescent="0.25">
      <c r="A6" s="59" t="s">
        <v>1128</v>
      </c>
      <c r="B6" s="26" t="s">
        <v>48</v>
      </c>
      <c r="C6" s="19" t="s">
        <v>17</v>
      </c>
      <c r="D6" s="28" t="s">
        <v>49</v>
      </c>
      <c r="E6" s="67" t="s">
        <v>179</v>
      </c>
      <c r="F6" s="67" t="s">
        <v>180</v>
      </c>
      <c r="G6" s="20" t="s">
        <v>181</v>
      </c>
      <c r="H6" s="20" t="s">
        <v>283</v>
      </c>
      <c r="I6" s="20" t="s">
        <v>283</v>
      </c>
      <c r="J6" s="20" t="s">
        <v>284</v>
      </c>
      <c r="K6" s="20" t="s">
        <v>285</v>
      </c>
      <c r="L6" s="28" t="s">
        <v>185</v>
      </c>
      <c r="M6" s="28" t="s">
        <v>186</v>
      </c>
      <c r="N6" s="20" t="s">
        <v>187</v>
      </c>
      <c r="O6" s="23" t="s">
        <v>188</v>
      </c>
      <c r="P6" s="23" t="s">
        <v>189</v>
      </c>
      <c r="Q6" s="23" t="s">
        <v>190</v>
      </c>
      <c r="R6" s="23" t="s">
        <v>286</v>
      </c>
      <c r="S6" s="30"/>
      <c r="T6" s="23" t="s">
        <v>1133</v>
      </c>
      <c r="U6" s="75" t="s">
        <v>213</v>
      </c>
      <c r="V6" s="75" t="s">
        <v>194</v>
      </c>
      <c r="W6" s="30"/>
      <c r="X6" s="23" t="s">
        <v>287</v>
      </c>
      <c r="Y6" s="23" t="s">
        <v>288</v>
      </c>
      <c r="Z6" s="23" t="s">
        <v>289</v>
      </c>
      <c r="AA6" s="76" t="s">
        <v>290</v>
      </c>
      <c r="AB6" s="23" t="s">
        <v>291</v>
      </c>
      <c r="AC6" s="23" t="s">
        <v>292</v>
      </c>
      <c r="AD6" s="23" t="s">
        <v>293</v>
      </c>
      <c r="AE6" s="30"/>
      <c r="AF6" s="23" t="s">
        <v>294</v>
      </c>
      <c r="AG6" s="23" t="s">
        <v>295</v>
      </c>
      <c r="AH6" s="23" t="s">
        <v>296</v>
      </c>
      <c r="AI6" s="23" t="s">
        <v>213</v>
      </c>
      <c r="AJ6" s="23" t="s">
        <v>213</v>
      </c>
      <c r="AK6" s="76" t="s">
        <v>297</v>
      </c>
      <c r="AL6" s="23" t="s">
        <v>207</v>
      </c>
      <c r="AM6" s="68" t="s">
        <v>208</v>
      </c>
      <c r="AN6" s="23" t="s">
        <v>209</v>
      </c>
      <c r="AO6" s="23" t="s">
        <v>210</v>
      </c>
      <c r="AP6" s="23" t="s">
        <v>211</v>
      </c>
      <c r="AQ6" s="28" t="s">
        <v>212</v>
      </c>
      <c r="AR6" s="30"/>
      <c r="AS6" s="23" t="s">
        <v>213</v>
      </c>
      <c r="AT6" s="23" t="s">
        <v>213</v>
      </c>
      <c r="AU6" s="23" t="s">
        <v>214</v>
      </c>
      <c r="AV6" s="23" t="s">
        <v>215</v>
      </c>
      <c r="AW6" s="23" t="s">
        <v>216</v>
      </c>
      <c r="AX6" s="23" t="s">
        <v>217</v>
      </c>
      <c r="AY6" s="23" t="s">
        <v>218</v>
      </c>
      <c r="AZ6" s="23" t="s">
        <v>218</v>
      </c>
      <c r="BA6" s="30"/>
      <c r="BB6" s="20" t="s">
        <v>298</v>
      </c>
      <c r="BC6" s="28" t="s">
        <v>299</v>
      </c>
      <c r="BD6" s="30"/>
      <c r="BE6" s="20" t="s">
        <v>221</v>
      </c>
      <c r="BF6" s="20" t="s">
        <v>300</v>
      </c>
      <c r="BG6" s="20" t="s">
        <v>301</v>
      </c>
      <c r="BH6" s="20" t="s">
        <v>302</v>
      </c>
      <c r="BI6" s="20" t="s">
        <v>303</v>
      </c>
      <c r="BJ6" s="30"/>
      <c r="BK6" s="20" t="s">
        <v>304</v>
      </c>
      <c r="BL6" s="20" t="s">
        <v>305</v>
      </c>
      <c r="BM6" s="20" t="s">
        <v>228</v>
      </c>
      <c r="BN6" s="28" t="s">
        <v>229</v>
      </c>
      <c r="BO6" s="28" t="s">
        <v>230</v>
      </c>
      <c r="BP6" s="20" t="s">
        <v>231</v>
      </c>
      <c r="BQ6" s="20" t="s">
        <v>232</v>
      </c>
      <c r="BR6" s="20" t="s">
        <v>233</v>
      </c>
      <c r="BS6" s="20" t="s">
        <v>234</v>
      </c>
      <c r="BT6" s="20" t="s">
        <v>235</v>
      </c>
      <c r="BU6" s="20" t="s">
        <v>306</v>
      </c>
      <c r="BV6" s="20" t="s">
        <v>237</v>
      </c>
      <c r="BW6" s="74" t="s">
        <v>307</v>
      </c>
      <c r="BX6" s="30"/>
      <c r="BY6" s="20" t="s">
        <v>221</v>
      </c>
      <c r="BZ6" s="20" t="s">
        <v>237</v>
      </c>
      <c r="CA6" s="20" t="s">
        <v>237</v>
      </c>
      <c r="CB6" s="28" t="s">
        <v>308</v>
      </c>
      <c r="CC6" s="30"/>
      <c r="CD6" s="74" t="s">
        <v>309</v>
      </c>
      <c r="CE6" s="74" t="s">
        <v>310</v>
      </c>
      <c r="CF6" s="30"/>
      <c r="CG6" s="28" t="s">
        <v>244</v>
      </c>
      <c r="CH6" s="20" t="s">
        <v>245</v>
      </c>
      <c r="CI6" s="30"/>
      <c r="CJ6" s="20" t="s">
        <v>311</v>
      </c>
      <c r="CK6" s="20" t="s">
        <v>312</v>
      </c>
      <c r="CL6" s="20" t="s">
        <v>313</v>
      </c>
      <c r="CM6" s="20" t="s">
        <v>314</v>
      </c>
      <c r="CN6" s="20" t="s">
        <v>315</v>
      </c>
      <c r="CO6" s="20" t="s">
        <v>316</v>
      </c>
      <c r="CP6" s="20" t="s">
        <v>317</v>
      </c>
      <c r="CQ6" s="30"/>
      <c r="CR6" s="23" t="s">
        <v>294</v>
      </c>
      <c r="CS6" s="69" t="s">
        <v>318</v>
      </c>
      <c r="CT6" s="20" t="s">
        <v>253</v>
      </c>
      <c r="CU6" s="28" t="s">
        <v>254</v>
      </c>
      <c r="CV6" s="77" t="s">
        <v>255</v>
      </c>
      <c r="CW6" s="71" t="s">
        <v>319</v>
      </c>
      <c r="CX6" s="72" t="s">
        <v>104</v>
      </c>
      <c r="CY6" s="71" t="s">
        <v>257</v>
      </c>
      <c r="CZ6" s="71" t="s">
        <v>320</v>
      </c>
      <c r="DA6" s="71" t="s">
        <v>321</v>
      </c>
      <c r="DB6" s="71" t="s">
        <v>259</v>
      </c>
      <c r="DC6" s="71" t="s">
        <v>260</v>
      </c>
      <c r="DD6" s="71" t="s">
        <v>261</v>
      </c>
      <c r="DE6" s="30"/>
      <c r="DF6" s="71" t="s">
        <v>322</v>
      </c>
      <c r="DG6" s="71" t="s">
        <v>323</v>
      </c>
      <c r="DH6" s="78" t="s">
        <v>324</v>
      </c>
      <c r="DI6" s="71" t="s">
        <v>325</v>
      </c>
      <c r="DJ6" s="71" t="s">
        <v>326</v>
      </c>
      <c r="DK6" s="71" t="s">
        <v>327</v>
      </c>
      <c r="DL6" s="30"/>
      <c r="DM6" s="71" t="s">
        <v>221</v>
      </c>
      <c r="DN6" s="71" t="s">
        <v>328</v>
      </c>
      <c r="DO6" s="71" t="s">
        <v>324</v>
      </c>
      <c r="DP6" s="71" t="s">
        <v>329</v>
      </c>
      <c r="DQ6" s="71" t="s">
        <v>330</v>
      </c>
      <c r="DR6" s="30"/>
      <c r="DS6" s="72" t="s">
        <v>271</v>
      </c>
      <c r="DT6" s="72" t="s">
        <v>271</v>
      </c>
      <c r="DU6" s="72" t="s">
        <v>271</v>
      </c>
      <c r="DV6" s="30"/>
      <c r="DW6" s="73" t="s">
        <v>104</v>
      </c>
      <c r="DX6" s="73" t="s">
        <v>104</v>
      </c>
      <c r="DY6" s="73" t="s">
        <v>104</v>
      </c>
      <c r="DZ6" s="73" t="s">
        <v>104</v>
      </c>
      <c r="EA6" s="73" t="s">
        <v>104</v>
      </c>
      <c r="EB6" s="73" t="s">
        <v>104</v>
      </c>
      <c r="EC6" s="30"/>
      <c r="ED6" s="74" t="s">
        <v>272</v>
      </c>
      <c r="EE6" s="20" t="s">
        <v>273</v>
      </c>
      <c r="EF6" s="20" t="s">
        <v>274</v>
      </c>
      <c r="EG6" s="20" t="s">
        <v>275</v>
      </c>
      <c r="EH6" s="31" t="s">
        <v>331</v>
      </c>
      <c r="EI6" s="20" t="s">
        <v>332</v>
      </c>
      <c r="EJ6" s="20" t="s">
        <v>333</v>
      </c>
      <c r="EK6" s="23" t="s">
        <v>334</v>
      </c>
      <c r="EL6" s="20" t="s">
        <v>335</v>
      </c>
      <c r="EM6" s="30"/>
      <c r="EN6" s="71" t="s">
        <v>221</v>
      </c>
      <c r="EO6" s="74" t="s">
        <v>272</v>
      </c>
      <c r="EP6" s="20" t="s">
        <v>273</v>
      </c>
      <c r="EQ6" s="20" t="s">
        <v>274</v>
      </c>
      <c r="ER6" s="20" t="s">
        <v>275</v>
      </c>
      <c r="ES6" s="31" t="s">
        <v>331</v>
      </c>
      <c r="ET6" s="20" t="s">
        <v>332</v>
      </c>
      <c r="EU6" s="20" t="s">
        <v>333</v>
      </c>
      <c r="EV6" s="76" t="s">
        <v>281</v>
      </c>
      <c r="EW6" s="30"/>
    </row>
    <row r="7" spans="1:153" customFormat="1" ht="56.25" customHeight="1" x14ac:dyDescent="0.25">
      <c r="A7" s="79" t="s">
        <v>119</v>
      </c>
      <c r="B7" s="32" t="s">
        <v>65</v>
      </c>
      <c r="C7" s="34" t="s">
        <v>69</v>
      </c>
      <c r="D7" s="32" t="s">
        <v>337</v>
      </c>
      <c r="E7" s="32" t="s">
        <v>338</v>
      </c>
      <c r="F7" s="32" t="s">
        <v>339</v>
      </c>
      <c r="G7" s="32" t="s">
        <v>340</v>
      </c>
      <c r="H7" s="32" t="s">
        <v>341</v>
      </c>
      <c r="I7" s="32" t="s">
        <v>342</v>
      </c>
      <c r="J7" s="32" t="s">
        <v>343</v>
      </c>
      <c r="K7" s="80" t="s">
        <v>344</v>
      </c>
      <c r="L7" s="34" t="s">
        <v>345</v>
      </c>
      <c r="M7" s="34" t="s">
        <v>346</v>
      </c>
      <c r="N7" s="34" t="s">
        <v>347</v>
      </c>
      <c r="O7" s="34" t="s">
        <v>348</v>
      </c>
      <c r="P7" s="34" t="s">
        <v>349</v>
      </c>
      <c r="Q7" s="34" t="s">
        <v>350</v>
      </c>
      <c r="R7" s="34" t="s">
        <v>351</v>
      </c>
      <c r="S7" s="14"/>
      <c r="T7" s="34" t="s">
        <v>352</v>
      </c>
      <c r="U7" s="34" t="s">
        <v>353</v>
      </c>
      <c r="V7" s="34" t="s">
        <v>354</v>
      </c>
      <c r="W7" s="14"/>
      <c r="X7" s="34" t="s">
        <v>355</v>
      </c>
      <c r="Y7" s="34" t="s">
        <v>355</v>
      </c>
      <c r="Z7" s="34" t="s">
        <v>355</v>
      </c>
      <c r="AA7" s="81" t="s">
        <v>356</v>
      </c>
      <c r="AB7" s="34" t="s">
        <v>355</v>
      </c>
      <c r="AC7" s="34" t="s">
        <v>355</v>
      </c>
      <c r="AD7" s="34" t="s">
        <v>355</v>
      </c>
      <c r="AE7" s="14"/>
      <c r="AF7" s="34" t="s">
        <v>357</v>
      </c>
      <c r="AG7" s="34" t="s">
        <v>358</v>
      </c>
      <c r="AH7" s="34" t="s">
        <v>359</v>
      </c>
      <c r="AI7" s="34" t="s">
        <v>360</v>
      </c>
      <c r="AJ7" s="34" t="s">
        <v>361</v>
      </c>
      <c r="AK7" s="34" t="s">
        <v>362</v>
      </c>
      <c r="AL7" s="34" t="s">
        <v>363</v>
      </c>
      <c r="AM7" s="34" t="s">
        <v>364</v>
      </c>
      <c r="AN7" s="34" t="s">
        <v>365</v>
      </c>
      <c r="AO7" s="34" t="s">
        <v>366</v>
      </c>
      <c r="AP7" s="34" t="s">
        <v>367</v>
      </c>
      <c r="AQ7" s="34" t="s">
        <v>368</v>
      </c>
      <c r="AR7" s="14"/>
      <c r="AS7" s="34" t="s">
        <v>369</v>
      </c>
      <c r="AT7" s="34" t="s">
        <v>370</v>
      </c>
      <c r="AU7" s="34" t="s">
        <v>371</v>
      </c>
      <c r="AV7" s="34" t="s">
        <v>372</v>
      </c>
      <c r="AW7" s="34" t="s">
        <v>373</v>
      </c>
      <c r="AX7" s="34" t="s">
        <v>374</v>
      </c>
      <c r="AY7" s="34" t="s">
        <v>375</v>
      </c>
      <c r="AZ7" s="34" t="s">
        <v>376</v>
      </c>
      <c r="BA7" s="14"/>
      <c r="BB7" s="32" t="s">
        <v>377</v>
      </c>
      <c r="BC7" s="32" t="s">
        <v>378</v>
      </c>
      <c r="BD7" s="14"/>
      <c r="BE7" s="34" t="s">
        <v>379</v>
      </c>
      <c r="BF7" s="34" t="s">
        <v>380</v>
      </c>
      <c r="BG7" s="34" t="s">
        <v>381</v>
      </c>
      <c r="BH7" s="34" t="s">
        <v>382</v>
      </c>
      <c r="BI7" s="34" t="s">
        <v>383</v>
      </c>
      <c r="BJ7" s="14"/>
      <c r="BK7" s="34" t="s">
        <v>384</v>
      </c>
      <c r="BL7" s="34" t="s">
        <v>385</v>
      </c>
      <c r="BM7" s="34" t="s">
        <v>386</v>
      </c>
      <c r="BN7" s="34" t="s">
        <v>387</v>
      </c>
      <c r="BO7" s="34" t="s">
        <v>388</v>
      </c>
      <c r="BP7" s="34" t="s">
        <v>389</v>
      </c>
      <c r="BQ7" s="34" t="s">
        <v>390</v>
      </c>
      <c r="BR7" s="34" t="s">
        <v>391</v>
      </c>
      <c r="BS7" s="34" t="s">
        <v>392</v>
      </c>
      <c r="BT7" s="34" t="s">
        <v>393</v>
      </c>
      <c r="BU7" s="34" t="s">
        <v>394</v>
      </c>
      <c r="BV7" s="34" t="s">
        <v>395</v>
      </c>
      <c r="BW7" s="34" t="s">
        <v>396</v>
      </c>
      <c r="BX7" s="14"/>
      <c r="BY7" s="34" t="s">
        <v>379</v>
      </c>
      <c r="BZ7" s="34" t="s">
        <v>397</v>
      </c>
      <c r="CA7" s="34" t="s">
        <v>398</v>
      </c>
      <c r="CB7" s="34" t="s">
        <v>399</v>
      </c>
      <c r="CC7" s="14"/>
      <c r="CD7" s="34" t="s">
        <v>400</v>
      </c>
      <c r="CE7" s="34" t="s">
        <v>401</v>
      </c>
      <c r="CF7" s="14"/>
      <c r="CG7" s="34" t="s">
        <v>402</v>
      </c>
      <c r="CH7" s="34" t="s">
        <v>403</v>
      </c>
      <c r="CI7" s="14"/>
      <c r="CJ7" s="34" t="s">
        <v>404</v>
      </c>
      <c r="CK7" s="34" t="s">
        <v>405</v>
      </c>
      <c r="CL7" s="34" t="s">
        <v>406</v>
      </c>
      <c r="CM7" s="34" t="s">
        <v>407</v>
      </c>
      <c r="CN7" s="34" t="s">
        <v>408</v>
      </c>
      <c r="CO7" s="34" t="s">
        <v>409</v>
      </c>
      <c r="CP7" s="34" t="s">
        <v>410</v>
      </c>
      <c r="CQ7" s="14"/>
      <c r="CR7" s="34" t="s">
        <v>357</v>
      </c>
      <c r="CS7" s="34" t="s">
        <v>411</v>
      </c>
      <c r="CT7" s="34" t="s">
        <v>412</v>
      </c>
      <c r="CU7" s="34" t="s">
        <v>413</v>
      </c>
      <c r="CV7" s="34" t="s">
        <v>414</v>
      </c>
      <c r="CW7" s="34" t="s">
        <v>415</v>
      </c>
      <c r="CX7" s="34" t="s">
        <v>416</v>
      </c>
      <c r="CY7" s="34" t="s">
        <v>417</v>
      </c>
      <c r="CZ7" s="34" t="s">
        <v>418</v>
      </c>
      <c r="DA7" s="34" t="s">
        <v>419</v>
      </c>
      <c r="DB7" s="34" t="s">
        <v>420</v>
      </c>
      <c r="DC7" s="34" t="s">
        <v>421</v>
      </c>
      <c r="DD7" s="34" t="s">
        <v>422</v>
      </c>
      <c r="DE7" s="14"/>
      <c r="DF7" s="34" t="s">
        <v>262</v>
      </c>
      <c r="DG7" s="34" t="s">
        <v>423</v>
      </c>
      <c r="DH7" s="34" t="s">
        <v>424</v>
      </c>
      <c r="DI7" s="34" t="s">
        <v>425</v>
      </c>
      <c r="DJ7" s="34" t="s">
        <v>426</v>
      </c>
      <c r="DK7" s="81" t="s">
        <v>427</v>
      </c>
      <c r="DL7" s="14"/>
      <c r="DM7" s="34" t="s">
        <v>428</v>
      </c>
      <c r="DN7" s="34" t="s">
        <v>429</v>
      </c>
      <c r="DO7" s="34" t="s">
        <v>430</v>
      </c>
      <c r="DP7" s="34" t="s">
        <v>431</v>
      </c>
      <c r="DQ7" s="81" t="s">
        <v>432</v>
      </c>
      <c r="DR7" s="14"/>
      <c r="DS7" s="34" t="s">
        <v>433</v>
      </c>
      <c r="DT7" s="34" t="s">
        <v>434</v>
      </c>
      <c r="DU7" s="34" t="s">
        <v>435</v>
      </c>
      <c r="DV7" s="14"/>
      <c r="DW7" s="34" t="s">
        <v>436</v>
      </c>
      <c r="DX7" s="34" t="s">
        <v>437</v>
      </c>
      <c r="DY7" s="34" t="s">
        <v>438</v>
      </c>
      <c r="DZ7" s="34" t="s">
        <v>439</v>
      </c>
      <c r="EA7" s="34" t="s">
        <v>440</v>
      </c>
      <c r="EB7" s="34" t="s">
        <v>441</v>
      </c>
      <c r="EC7" s="14"/>
      <c r="ED7" s="34" t="s">
        <v>442</v>
      </c>
      <c r="EE7" s="34" t="s">
        <v>443</v>
      </c>
      <c r="EF7" s="34" t="s">
        <v>444</v>
      </c>
      <c r="EG7" s="34" t="s">
        <v>445</v>
      </c>
      <c r="EH7" s="34" t="s">
        <v>446</v>
      </c>
      <c r="EI7" s="34" t="s">
        <v>447</v>
      </c>
      <c r="EJ7" s="34" t="s">
        <v>448</v>
      </c>
      <c r="EK7" s="34" t="s">
        <v>449</v>
      </c>
      <c r="EL7" s="34" t="s">
        <v>450</v>
      </c>
      <c r="EM7" s="14"/>
      <c r="EN7" s="34" t="s">
        <v>451</v>
      </c>
      <c r="EO7" s="34" t="s">
        <v>442</v>
      </c>
      <c r="EP7" s="34" t="s">
        <v>443</v>
      </c>
      <c r="EQ7" s="34" t="s">
        <v>444</v>
      </c>
      <c r="ER7" s="34" t="s">
        <v>445</v>
      </c>
      <c r="ES7" s="34" t="s">
        <v>446</v>
      </c>
      <c r="ET7" s="34" t="s">
        <v>447</v>
      </c>
      <c r="EU7" s="34" t="s">
        <v>448</v>
      </c>
      <c r="EV7" s="34" t="s">
        <v>452</v>
      </c>
      <c r="EW7" s="14"/>
    </row>
    <row r="8" spans="1:153" customFormat="1" ht="18.75" x14ac:dyDescent="0.25">
      <c r="A8" s="59" t="s">
        <v>1129</v>
      </c>
      <c r="B8" s="32" t="s">
        <v>103</v>
      </c>
      <c r="C8" s="35" t="s">
        <v>104</v>
      </c>
      <c r="D8" s="67" t="s">
        <v>104</v>
      </c>
      <c r="E8" s="67" t="s">
        <v>104</v>
      </c>
      <c r="F8" s="67" t="s">
        <v>104</v>
      </c>
      <c r="G8" s="67" t="s">
        <v>104</v>
      </c>
      <c r="H8" s="67" t="s">
        <v>104</v>
      </c>
      <c r="I8" s="67" t="s">
        <v>104</v>
      </c>
      <c r="J8" s="67" t="s">
        <v>104</v>
      </c>
      <c r="K8" s="67" t="s">
        <v>104</v>
      </c>
      <c r="L8" s="67" t="s">
        <v>104</v>
      </c>
      <c r="M8" s="82" t="s">
        <v>104</v>
      </c>
      <c r="N8" s="82" t="s">
        <v>104</v>
      </c>
      <c r="O8" s="82"/>
      <c r="P8" s="82"/>
      <c r="Q8" s="82"/>
      <c r="R8" s="82"/>
      <c r="S8" s="14"/>
      <c r="T8" s="82" t="s">
        <v>104</v>
      </c>
      <c r="U8" s="82" t="s">
        <v>104</v>
      </c>
      <c r="V8" s="82" t="s">
        <v>104</v>
      </c>
      <c r="W8" s="14"/>
      <c r="X8" s="67" t="s">
        <v>108</v>
      </c>
      <c r="Y8" s="67" t="s">
        <v>108</v>
      </c>
      <c r="Z8" s="67" t="s">
        <v>108</v>
      </c>
      <c r="AA8" s="67" t="s">
        <v>104</v>
      </c>
      <c r="AB8" s="67" t="s">
        <v>108</v>
      </c>
      <c r="AC8" s="67" t="s">
        <v>108</v>
      </c>
      <c r="AD8" s="67" t="s">
        <v>108</v>
      </c>
      <c r="AE8" s="14"/>
      <c r="AF8" s="67" t="s">
        <v>104</v>
      </c>
      <c r="AG8" s="67" t="s">
        <v>104</v>
      </c>
      <c r="AH8" s="67" t="s">
        <v>104</v>
      </c>
      <c r="AI8" s="67" t="s">
        <v>104</v>
      </c>
      <c r="AJ8" s="67" t="s">
        <v>104</v>
      </c>
      <c r="AK8" s="67" t="s">
        <v>104</v>
      </c>
      <c r="AL8" s="67" t="s">
        <v>104</v>
      </c>
      <c r="AM8" s="67" t="s">
        <v>104</v>
      </c>
      <c r="AN8" s="67" t="s">
        <v>108</v>
      </c>
      <c r="AO8" s="67" t="s">
        <v>108</v>
      </c>
      <c r="AP8" s="67" t="s">
        <v>108</v>
      </c>
      <c r="AQ8" s="35" t="s">
        <v>104</v>
      </c>
      <c r="AR8" s="14"/>
      <c r="AS8" s="67" t="s">
        <v>104</v>
      </c>
      <c r="AT8" s="67" t="s">
        <v>104</v>
      </c>
      <c r="AU8" s="67" t="s">
        <v>108</v>
      </c>
      <c r="AV8" s="67" t="s">
        <v>108</v>
      </c>
      <c r="AW8" s="67" t="s">
        <v>104</v>
      </c>
      <c r="AX8" s="67" t="s">
        <v>104</v>
      </c>
      <c r="AY8" s="67" t="s">
        <v>108</v>
      </c>
      <c r="AZ8" s="67" t="s">
        <v>108</v>
      </c>
      <c r="BA8" s="14"/>
      <c r="BB8" s="67" t="s">
        <v>104</v>
      </c>
      <c r="BC8" s="67" t="s">
        <v>104</v>
      </c>
      <c r="BD8" s="14"/>
      <c r="BE8" s="82"/>
      <c r="BF8" s="82" t="s">
        <v>454</v>
      </c>
      <c r="BG8" s="82" t="s">
        <v>455</v>
      </c>
      <c r="BH8" s="82" t="s">
        <v>454</v>
      </c>
      <c r="BI8" s="82"/>
      <c r="BJ8" s="14"/>
      <c r="BK8" s="38" t="s">
        <v>456</v>
      </c>
      <c r="BL8" s="38" t="s">
        <v>456</v>
      </c>
      <c r="BM8" s="38" t="s">
        <v>456</v>
      </c>
      <c r="BN8" s="82" t="s">
        <v>104</v>
      </c>
      <c r="BO8" s="82" t="s">
        <v>104</v>
      </c>
      <c r="BP8" s="82" t="s">
        <v>104</v>
      </c>
      <c r="BQ8" s="38" t="s">
        <v>456</v>
      </c>
      <c r="BR8" s="38" t="s">
        <v>456</v>
      </c>
      <c r="BS8" s="38" t="s">
        <v>456</v>
      </c>
      <c r="BT8" s="38" t="s">
        <v>456</v>
      </c>
      <c r="BU8" s="82" t="s">
        <v>104</v>
      </c>
      <c r="BV8" s="82" t="s">
        <v>108</v>
      </c>
      <c r="BW8" s="82" t="s">
        <v>104</v>
      </c>
      <c r="BX8" s="14"/>
      <c r="BY8" s="82"/>
      <c r="BZ8" s="82" t="s">
        <v>108</v>
      </c>
      <c r="CA8" s="82" t="s">
        <v>108</v>
      </c>
      <c r="CB8" s="38" t="s">
        <v>104</v>
      </c>
      <c r="CC8" s="14"/>
      <c r="CD8" s="38" t="s">
        <v>457</v>
      </c>
      <c r="CE8" s="38" t="s">
        <v>457</v>
      </c>
      <c r="CF8" s="14"/>
      <c r="CG8" s="38" t="s">
        <v>104</v>
      </c>
      <c r="CH8" s="38" t="s">
        <v>104</v>
      </c>
      <c r="CI8" s="14"/>
      <c r="CJ8" s="35" t="s">
        <v>454</v>
      </c>
      <c r="CK8" s="35" t="s">
        <v>454</v>
      </c>
      <c r="CL8" s="35" t="s">
        <v>454</v>
      </c>
      <c r="CM8" s="35" t="s">
        <v>454</v>
      </c>
      <c r="CN8" s="35" t="s">
        <v>454</v>
      </c>
      <c r="CO8" s="35" t="s">
        <v>454</v>
      </c>
      <c r="CP8" s="35" t="s">
        <v>104</v>
      </c>
      <c r="CQ8" s="14"/>
      <c r="CR8" s="67" t="s">
        <v>104</v>
      </c>
      <c r="CS8" s="38" t="s">
        <v>104</v>
      </c>
      <c r="CT8" s="38" t="s">
        <v>104</v>
      </c>
      <c r="CU8" s="38" t="s">
        <v>104</v>
      </c>
      <c r="CV8" s="38" t="s">
        <v>104</v>
      </c>
      <c r="CW8" s="38" t="s">
        <v>104</v>
      </c>
      <c r="CX8" s="38" t="s">
        <v>104</v>
      </c>
      <c r="CY8" s="38" t="s">
        <v>458</v>
      </c>
      <c r="CZ8" s="38" t="s">
        <v>108</v>
      </c>
      <c r="DA8" s="38" t="s">
        <v>104</v>
      </c>
      <c r="DB8" s="38" t="s">
        <v>104</v>
      </c>
      <c r="DC8" s="38" t="s">
        <v>104</v>
      </c>
      <c r="DD8" s="38" t="s">
        <v>104</v>
      </c>
      <c r="DE8" s="14"/>
      <c r="DF8" s="38" t="s">
        <v>104</v>
      </c>
      <c r="DG8" s="38" t="s">
        <v>104</v>
      </c>
      <c r="DH8" s="38" t="s">
        <v>104</v>
      </c>
      <c r="DI8" s="38" t="s">
        <v>109</v>
      </c>
      <c r="DJ8" s="38" t="s">
        <v>104</v>
      </c>
      <c r="DK8" s="38" t="s">
        <v>104</v>
      </c>
      <c r="DL8" s="14"/>
      <c r="DM8" s="38" t="s">
        <v>104</v>
      </c>
      <c r="DN8" s="38" t="s">
        <v>104</v>
      </c>
      <c r="DO8" s="38" t="s">
        <v>104</v>
      </c>
      <c r="DP8" s="38" t="s">
        <v>104</v>
      </c>
      <c r="DQ8" s="38"/>
      <c r="DR8" s="14"/>
      <c r="DS8" s="38" t="s">
        <v>108</v>
      </c>
      <c r="DT8" s="38" t="s">
        <v>108</v>
      </c>
      <c r="DU8" s="38" t="s">
        <v>104</v>
      </c>
      <c r="DV8" s="14"/>
      <c r="DW8" s="38" t="s">
        <v>104</v>
      </c>
      <c r="DX8" s="38" t="s">
        <v>104</v>
      </c>
      <c r="DY8" s="38" t="s">
        <v>104</v>
      </c>
      <c r="DZ8" s="38" t="s">
        <v>104</v>
      </c>
      <c r="EA8" s="38" t="s">
        <v>104</v>
      </c>
      <c r="EB8" s="38" t="s">
        <v>104</v>
      </c>
      <c r="EC8" s="14"/>
      <c r="ED8" s="82" t="s">
        <v>104</v>
      </c>
      <c r="EE8" s="82" t="s">
        <v>108</v>
      </c>
      <c r="EF8" s="82" t="s">
        <v>108</v>
      </c>
      <c r="EG8" s="82" t="s">
        <v>108</v>
      </c>
      <c r="EH8" s="82" t="s">
        <v>104</v>
      </c>
      <c r="EI8" s="82" t="s">
        <v>104</v>
      </c>
      <c r="EJ8" s="82" t="s">
        <v>109</v>
      </c>
      <c r="EK8" s="82" t="s">
        <v>104</v>
      </c>
      <c r="EL8" s="82" t="s">
        <v>104</v>
      </c>
      <c r="EM8" s="14"/>
      <c r="EN8" s="82" t="s">
        <v>104</v>
      </c>
      <c r="EO8" s="82" t="s">
        <v>104</v>
      </c>
      <c r="EP8" s="82" t="s">
        <v>108</v>
      </c>
      <c r="EQ8" s="82" t="s">
        <v>108</v>
      </c>
      <c r="ER8" s="82" t="s">
        <v>108</v>
      </c>
      <c r="ES8" s="82" t="s">
        <v>104</v>
      </c>
      <c r="ET8" s="82" t="s">
        <v>104</v>
      </c>
      <c r="EU8" s="82" t="s">
        <v>109</v>
      </c>
      <c r="EV8" s="67" t="s">
        <v>104</v>
      </c>
      <c r="EW8" s="14"/>
    </row>
    <row r="9" spans="1:153" x14ac:dyDescent="0.25">
      <c r="A9" s="58" t="s">
        <v>1119</v>
      </c>
    </row>
    <row r="10" spans="1:153" x14ac:dyDescent="0.25">
      <c r="C10">
        <v>502326</v>
      </c>
      <c r="D10" s="39" t="s">
        <v>1132</v>
      </c>
    </row>
    <row r="11" spans="1:153" x14ac:dyDescent="0.25">
      <c r="C11">
        <v>502326</v>
      </c>
      <c r="D11" s="39" t="s">
        <v>154</v>
      </c>
      <c r="T11" s="112" t="s">
        <v>1140</v>
      </c>
      <c r="U11" s="112" t="s">
        <v>1140</v>
      </c>
      <c r="V11" s="112" t="s">
        <v>1120</v>
      </c>
    </row>
    <row r="12" spans="1:153" x14ac:dyDescent="0.25">
      <c r="C12"/>
      <c r="D12" s="118" t="s">
        <v>1141</v>
      </c>
      <c r="G12" s="112" t="s">
        <v>1436</v>
      </c>
      <c r="I12" s="112" t="s">
        <v>1436</v>
      </c>
      <c r="U12" s="112" t="s">
        <v>1436</v>
      </c>
      <c r="AF12" s="112" t="s">
        <v>1436</v>
      </c>
      <c r="AG12" s="112" t="s">
        <v>1436</v>
      </c>
      <c r="AL12" s="112">
        <v>0</v>
      </c>
      <c r="AM12" s="112">
        <v>1</v>
      </c>
      <c r="AN12" s="39">
        <v>320</v>
      </c>
      <c r="AO12" s="39">
        <v>198</v>
      </c>
      <c r="AQ12" s="112" t="s">
        <v>1436</v>
      </c>
    </row>
    <row r="13" spans="1:153" x14ac:dyDescent="0.25">
      <c r="C13"/>
      <c r="D13" s="118" t="s">
        <v>1142</v>
      </c>
      <c r="G13" s="112" t="s">
        <v>1437</v>
      </c>
      <c r="I13" s="112" t="s">
        <v>1437</v>
      </c>
      <c r="U13" s="112" t="s">
        <v>1437</v>
      </c>
      <c r="AF13" s="112" t="s">
        <v>1437</v>
      </c>
      <c r="AG13" s="112" t="s">
        <v>1437</v>
      </c>
      <c r="AL13" s="112">
        <v>0</v>
      </c>
      <c r="AM13" s="112">
        <v>1</v>
      </c>
      <c r="AN13" s="39">
        <v>320</v>
      </c>
      <c r="AO13" s="39">
        <v>198</v>
      </c>
      <c r="AQ13" s="112" t="s">
        <v>1437</v>
      </c>
    </row>
    <row r="14" spans="1:153" x14ac:dyDescent="0.25">
      <c r="B14" s="119"/>
      <c r="C14"/>
      <c r="D14" s="120" t="s">
        <v>1432</v>
      </c>
      <c r="G14" s="39" t="s">
        <v>1433</v>
      </c>
      <c r="I14" s="112" t="s">
        <v>1434</v>
      </c>
      <c r="U14" s="112" t="s">
        <v>1434</v>
      </c>
      <c r="AF14" s="112" t="s">
        <v>1434</v>
      </c>
      <c r="AG14" s="112" t="s">
        <v>1434</v>
      </c>
      <c r="AI14" s="112" t="s">
        <v>1435</v>
      </c>
      <c r="AJ14" s="112" t="s">
        <v>1434</v>
      </c>
      <c r="AL14" s="112">
        <v>1</v>
      </c>
      <c r="AM14" s="112">
        <v>0</v>
      </c>
      <c r="AN14" s="39">
        <v>238</v>
      </c>
      <c r="AP14" s="112"/>
      <c r="AQ14" s="39" t="s">
        <v>1433</v>
      </c>
    </row>
    <row r="15" spans="1:153" x14ac:dyDescent="0.25">
      <c r="C15"/>
    </row>
    <row r="17" spans="2:43" x14ac:dyDescent="0.25">
      <c r="C17">
        <v>502327</v>
      </c>
      <c r="D17" s="39" t="s">
        <v>1132</v>
      </c>
    </row>
    <row r="18" spans="2:43" x14ac:dyDescent="0.25">
      <c r="C18">
        <v>502327</v>
      </c>
      <c r="D18" s="39" t="s">
        <v>154</v>
      </c>
      <c r="T18" s="112" t="s">
        <v>1140</v>
      </c>
      <c r="U18" s="112" t="s">
        <v>1140</v>
      </c>
      <c r="V18" s="112" t="s">
        <v>1120</v>
      </c>
    </row>
    <row r="19" spans="2:43" x14ac:dyDescent="0.25">
      <c r="C19"/>
      <c r="D19" s="118" t="s">
        <v>1141</v>
      </c>
      <c r="G19" s="112" t="s">
        <v>1436</v>
      </c>
      <c r="I19" s="112" t="s">
        <v>1436</v>
      </c>
      <c r="U19" s="112" t="s">
        <v>1436</v>
      </c>
      <c r="AF19" s="112" t="s">
        <v>1436</v>
      </c>
      <c r="AG19" s="112" t="s">
        <v>1436</v>
      </c>
      <c r="AL19" s="112">
        <v>0</v>
      </c>
      <c r="AM19" s="112">
        <v>1</v>
      </c>
      <c r="AN19" s="39">
        <v>520</v>
      </c>
      <c r="AO19" s="39">
        <v>198</v>
      </c>
      <c r="AQ19" s="112" t="s">
        <v>1436</v>
      </c>
    </row>
    <row r="20" spans="2:43" x14ac:dyDescent="0.25">
      <c r="C20"/>
      <c r="D20" s="118" t="s">
        <v>1142</v>
      </c>
      <c r="G20" s="112" t="s">
        <v>1437</v>
      </c>
      <c r="I20" s="112" t="s">
        <v>1437</v>
      </c>
      <c r="U20" s="112" t="s">
        <v>1437</v>
      </c>
      <c r="AF20" s="112" t="s">
        <v>1437</v>
      </c>
      <c r="AG20" s="112" t="s">
        <v>1437</v>
      </c>
      <c r="AL20" s="112">
        <v>0</v>
      </c>
      <c r="AM20" s="112">
        <v>1</v>
      </c>
      <c r="AN20" s="39">
        <v>520</v>
      </c>
      <c r="AO20" s="39">
        <v>198</v>
      </c>
      <c r="AQ20" s="112" t="s">
        <v>1437</v>
      </c>
    </row>
    <row r="21" spans="2:43" x14ac:dyDescent="0.25">
      <c r="B21" s="119"/>
      <c r="C21"/>
      <c r="D21" s="120" t="s">
        <v>1432</v>
      </c>
      <c r="G21" s="39" t="s">
        <v>1433</v>
      </c>
      <c r="I21" s="112" t="s">
        <v>1434</v>
      </c>
      <c r="U21" s="112" t="s">
        <v>1434</v>
      </c>
      <c r="AF21" s="112" t="s">
        <v>1434</v>
      </c>
      <c r="AG21" s="112" t="s">
        <v>1434</v>
      </c>
      <c r="AI21" s="112" t="s">
        <v>1435</v>
      </c>
      <c r="AJ21" s="112" t="s">
        <v>1434</v>
      </c>
      <c r="AL21" s="112">
        <v>1</v>
      </c>
      <c r="AM21" s="112">
        <v>0</v>
      </c>
      <c r="AN21" s="39">
        <v>238</v>
      </c>
      <c r="AP21" s="112"/>
      <c r="AQ21" s="39" t="s">
        <v>1433</v>
      </c>
    </row>
    <row r="24" spans="2:43" x14ac:dyDescent="0.25">
      <c r="C24">
        <v>502328</v>
      </c>
      <c r="D24" s="39" t="s">
        <v>1132</v>
      </c>
    </row>
    <row r="25" spans="2:43" x14ac:dyDescent="0.25">
      <c r="C25">
        <v>502328</v>
      </c>
      <c r="D25" s="39" t="s">
        <v>154</v>
      </c>
      <c r="T25" s="112" t="s">
        <v>1140</v>
      </c>
      <c r="U25" s="112" t="s">
        <v>1140</v>
      </c>
      <c r="V25" s="112" t="s">
        <v>1120</v>
      </c>
    </row>
    <row r="26" spans="2:43" x14ac:dyDescent="0.25">
      <c r="C26"/>
      <c r="D26" s="118" t="s">
        <v>1141</v>
      </c>
      <c r="G26" s="112" t="s">
        <v>1436</v>
      </c>
      <c r="I26" s="112" t="s">
        <v>1436</v>
      </c>
      <c r="U26" s="112" t="s">
        <v>1436</v>
      </c>
      <c r="AF26" s="112" t="s">
        <v>1436</v>
      </c>
      <c r="AG26" s="112" t="s">
        <v>1436</v>
      </c>
      <c r="AL26" s="112">
        <v>0</v>
      </c>
      <c r="AM26" s="112">
        <v>1</v>
      </c>
      <c r="AN26" s="39">
        <v>720</v>
      </c>
      <c r="AO26" s="39">
        <v>198</v>
      </c>
      <c r="AQ26" s="112" t="s">
        <v>1436</v>
      </c>
    </row>
    <row r="27" spans="2:43" x14ac:dyDescent="0.25">
      <c r="C27"/>
      <c r="D27" s="118" t="s">
        <v>1142</v>
      </c>
      <c r="G27" s="112" t="s">
        <v>1437</v>
      </c>
      <c r="I27" s="112" t="s">
        <v>1437</v>
      </c>
      <c r="U27" s="112" t="s">
        <v>1437</v>
      </c>
      <c r="AF27" s="112" t="s">
        <v>1437</v>
      </c>
      <c r="AG27" s="112" t="s">
        <v>1437</v>
      </c>
      <c r="AL27" s="112">
        <v>0</v>
      </c>
      <c r="AM27" s="112">
        <v>1</v>
      </c>
      <c r="AN27" s="39">
        <v>720</v>
      </c>
      <c r="AO27" s="39">
        <v>198</v>
      </c>
      <c r="AQ27" s="112" t="s">
        <v>1437</v>
      </c>
    </row>
    <row r="28" spans="2:43" x14ac:dyDescent="0.25">
      <c r="B28" s="119"/>
      <c r="C28"/>
      <c r="D28" s="120" t="s">
        <v>1432</v>
      </c>
      <c r="G28" s="39" t="s">
        <v>1433</v>
      </c>
      <c r="I28" s="112" t="s">
        <v>1434</v>
      </c>
      <c r="U28" s="112" t="s">
        <v>1434</v>
      </c>
      <c r="AF28" s="112" t="s">
        <v>1434</v>
      </c>
      <c r="AG28" s="112" t="s">
        <v>1434</v>
      </c>
      <c r="AI28" s="112" t="s">
        <v>1435</v>
      </c>
      <c r="AJ28" s="112" t="s">
        <v>1434</v>
      </c>
      <c r="AL28" s="112">
        <v>1</v>
      </c>
      <c r="AM28" s="112">
        <v>0</v>
      </c>
      <c r="AN28" s="39">
        <v>238</v>
      </c>
      <c r="AP28" s="112"/>
      <c r="AQ28" s="39" t="s">
        <v>1433</v>
      </c>
    </row>
    <row r="31" spans="2:43" x14ac:dyDescent="0.25">
      <c r="C31">
        <v>502329</v>
      </c>
      <c r="D31" s="39" t="s">
        <v>1132</v>
      </c>
    </row>
    <row r="32" spans="2:43" x14ac:dyDescent="0.25">
      <c r="C32">
        <v>502329</v>
      </c>
      <c r="D32" s="39" t="s">
        <v>154</v>
      </c>
      <c r="T32" s="112" t="s">
        <v>1140</v>
      </c>
      <c r="U32" s="112" t="s">
        <v>1140</v>
      </c>
      <c r="V32" s="112" t="s">
        <v>1120</v>
      </c>
    </row>
    <row r="33" spans="2:43" x14ac:dyDescent="0.25">
      <c r="C33"/>
      <c r="D33" s="118" t="s">
        <v>1141</v>
      </c>
      <c r="G33" s="112" t="s">
        <v>1436</v>
      </c>
      <c r="I33" s="112" t="s">
        <v>1436</v>
      </c>
      <c r="U33" s="112" t="s">
        <v>1436</v>
      </c>
      <c r="AF33" s="112" t="s">
        <v>1436</v>
      </c>
      <c r="AG33" s="112" t="s">
        <v>1436</v>
      </c>
      <c r="AL33" s="112">
        <v>0</v>
      </c>
      <c r="AM33" s="112">
        <v>1</v>
      </c>
      <c r="AN33" s="39">
        <v>920</v>
      </c>
      <c r="AO33" s="39">
        <v>198</v>
      </c>
      <c r="AQ33" s="112" t="s">
        <v>1436</v>
      </c>
    </row>
    <row r="34" spans="2:43" x14ac:dyDescent="0.25">
      <c r="C34"/>
      <c r="D34" s="118" t="s">
        <v>1142</v>
      </c>
      <c r="G34" s="112" t="s">
        <v>1437</v>
      </c>
      <c r="I34" s="112" t="s">
        <v>1437</v>
      </c>
      <c r="U34" s="112" t="s">
        <v>1437</v>
      </c>
      <c r="AF34" s="112" t="s">
        <v>1437</v>
      </c>
      <c r="AG34" s="112" t="s">
        <v>1437</v>
      </c>
      <c r="AL34" s="112">
        <v>0</v>
      </c>
      <c r="AM34" s="112">
        <v>1</v>
      </c>
      <c r="AN34" s="39">
        <v>920</v>
      </c>
      <c r="AO34" s="39">
        <v>198</v>
      </c>
      <c r="AQ34" s="112" t="s">
        <v>1437</v>
      </c>
    </row>
    <row r="35" spans="2:43" x14ac:dyDescent="0.25">
      <c r="B35" s="119"/>
      <c r="C35"/>
      <c r="D35" s="120" t="s">
        <v>1432</v>
      </c>
      <c r="G35" s="39" t="s">
        <v>1433</v>
      </c>
      <c r="I35" s="112" t="s">
        <v>1434</v>
      </c>
      <c r="U35" s="112" t="s">
        <v>1434</v>
      </c>
      <c r="AF35" s="112" t="s">
        <v>1434</v>
      </c>
      <c r="AG35" s="112" t="s">
        <v>1434</v>
      </c>
      <c r="AI35" s="112" t="s">
        <v>1435</v>
      </c>
      <c r="AJ35" s="112" t="s">
        <v>1434</v>
      </c>
      <c r="AL35" s="112">
        <v>1</v>
      </c>
      <c r="AM35" s="112">
        <v>0</v>
      </c>
      <c r="AN35" s="39">
        <v>238</v>
      </c>
      <c r="AP35" s="112"/>
      <c r="AQ35" s="39" t="s">
        <v>1433</v>
      </c>
    </row>
    <row r="38" spans="2:43" x14ac:dyDescent="0.25">
      <c r="C38">
        <v>502330</v>
      </c>
      <c r="D38" s="39" t="s">
        <v>1132</v>
      </c>
    </row>
    <row r="39" spans="2:43" x14ac:dyDescent="0.25">
      <c r="C39">
        <v>502330</v>
      </c>
      <c r="D39" s="39" t="s">
        <v>154</v>
      </c>
      <c r="T39" s="112" t="s">
        <v>1140</v>
      </c>
      <c r="U39" s="112" t="s">
        <v>1140</v>
      </c>
      <c r="V39" s="112" t="s">
        <v>1120</v>
      </c>
    </row>
    <row r="40" spans="2:43" x14ac:dyDescent="0.25">
      <c r="C40"/>
      <c r="D40" s="118" t="s">
        <v>1141</v>
      </c>
      <c r="G40" s="112" t="s">
        <v>1436</v>
      </c>
      <c r="I40" s="112" t="s">
        <v>1436</v>
      </c>
      <c r="U40" s="112" t="s">
        <v>1436</v>
      </c>
      <c r="AF40" s="112" t="s">
        <v>1436</v>
      </c>
      <c r="AG40" s="112" t="s">
        <v>1436</v>
      </c>
      <c r="AL40" s="112">
        <v>0</v>
      </c>
      <c r="AM40" s="112">
        <v>1</v>
      </c>
      <c r="AN40" s="39">
        <v>1120</v>
      </c>
      <c r="AO40" s="39">
        <v>198</v>
      </c>
      <c r="AQ40" s="112" t="s">
        <v>1436</v>
      </c>
    </row>
    <row r="41" spans="2:43" x14ac:dyDescent="0.25">
      <c r="C41"/>
      <c r="D41" s="118" t="s">
        <v>1142</v>
      </c>
      <c r="G41" s="112" t="s">
        <v>1437</v>
      </c>
      <c r="I41" s="112" t="s">
        <v>1437</v>
      </c>
      <c r="U41" s="112" t="s">
        <v>1437</v>
      </c>
      <c r="AF41" s="112" t="s">
        <v>1437</v>
      </c>
      <c r="AG41" s="112" t="s">
        <v>1437</v>
      </c>
      <c r="AL41" s="112">
        <v>0</v>
      </c>
      <c r="AM41" s="112">
        <v>1</v>
      </c>
      <c r="AN41" s="39">
        <v>1120</v>
      </c>
      <c r="AO41" s="39">
        <v>198</v>
      </c>
      <c r="AQ41" s="112" t="s">
        <v>1437</v>
      </c>
    </row>
    <row r="42" spans="2:43" x14ac:dyDescent="0.25">
      <c r="B42" s="119"/>
      <c r="C42"/>
      <c r="D42" s="120" t="s">
        <v>1432</v>
      </c>
      <c r="G42" s="39" t="s">
        <v>1433</v>
      </c>
      <c r="I42" s="112" t="s">
        <v>1434</v>
      </c>
      <c r="U42" s="112" t="s">
        <v>1434</v>
      </c>
      <c r="AF42" s="112" t="s">
        <v>1434</v>
      </c>
      <c r="AG42" s="112" t="s">
        <v>1434</v>
      </c>
      <c r="AI42" s="112" t="s">
        <v>1435</v>
      </c>
      <c r="AJ42" s="112" t="s">
        <v>1434</v>
      </c>
      <c r="AL42" s="112">
        <v>1</v>
      </c>
      <c r="AM42" s="112">
        <v>0</v>
      </c>
      <c r="AN42" s="39">
        <v>238</v>
      </c>
      <c r="AP42" s="112"/>
      <c r="AQ42" s="39" t="s">
        <v>1433</v>
      </c>
    </row>
    <row r="45" spans="2:43" x14ac:dyDescent="0.25">
      <c r="C45">
        <v>502331</v>
      </c>
      <c r="D45" s="39" t="s">
        <v>1132</v>
      </c>
    </row>
    <row r="46" spans="2:43" x14ac:dyDescent="0.25">
      <c r="C46">
        <v>502331</v>
      </c>
      <c r="D46" s="39" t="s">
        <v>154</v>
      </c>
      <c r="T46" s="112" t="s">
        <v>1140</v>
      </c>
      <c r="U46" s="112" t="s">
        <v>1140</v>
      </c>
      <c r="V46" s="112" t="s">
        <v>1120</v>
      </c>
    </row>
    <row r="47" spans="2:43" x14ac:dyDescent="0.25">
      <c r="C47"/>
      <c r="D47" s="118" t="s">
        <v>1141</v>
      </c>
      <c r="G47" s="112" t="s">
        <v>1436</v>
      </c>
      <c r="I47" s="112" t="s">
        <v>1436</v>
      </c>
      <c r="U47" s="112" t="s">
        <v>1436</v>
      </c>
      <c r="AF47" s="112" t="s">
        <v>1436</v>
      </c>
      <c r="AG47" s="112" t="s">
        <v>1436</v>
      </c>
      <c r="AL47" s="112">
        <v>0</v>
      </c>
      <c r="AM47" s="112">
        <v>1</v>
      </c>
      <c r="AN47" s="39">
        <v>320</v>
      </c>
      <c r="AO47" s="39">
        <v>298</v>
      </c>
      <c r="AQ47" s="112" t="s">
        <v>1436</v>
      </c>
    </row>
    <row r="48" spans="2:43" x14ac:dyDescent="0.25">
      <c r="C48"/>
      <c r="D48" s="118" t="s">
        <v>1142</v>
      </c>
      <c r="G48" s="112" t="s">
        <v>1437</v>
      </c>
      <c r="I48" s="112" t="s">
        <v>1437</v>
      </c>
      <c r="U48" s="112" t="s">
        <v>1437</v>
      </c>
      <c r="AF48" s="112" t="s">
        <v>1437</v>
      </c>
      <c r="AG48" s="112" t="s">
        <v>1437</v>
      </c>
      <c r="AL48" s="112">
        <v>0</v>
      </c>
      <c r="AM48" s="112">
        <v>1</v>
      </c>
      <c r="AN48" s="39">
        <v>320</v>
      </c>
      <c r="AO48" s="39">
        <v>298</v>
      </c>
      <c r="AQ48" s="112" t="s">
        <v>1437</v>
      </c>
    </row>
    <row r="49" spans="2:43" x14ac:dyDescent="0.25">
      <c r="B49" s="119"/>
      <c r="C49"/>
      <c r="D49" s="120" t="s">
        <v>1432</v>
      </c>
      <c r="G49" s="39" t="s">
        <v>1433</v>
      </c>
      <c r="I49" s="112" t="s">
        <v>1434</v>
      </c>
      <c r="U49" s="112" t="s">
        <v>1434</v>
      </c>
      <c r="AF49" s="112" t="s">
        <v>1434</v>
      </c>
      <c r="AG49" s="112" t="s">
        <v>1434</v>
      </c>
      <c r="AI49" s="112" t="s">
        <v>1435</v>
      </c>
      <c r="AJ49" s="112" t="s">
        <v>1434</v>
      </c>
      <c r="AL49" s="112">
        <v>1</v>
      </c>
      <c r="AM49" s="112">
        <v>0</v>
      </c>
      <c r="AN49" s="39">
        <v>238</v>
      </c>
      <c r="AP49" s="112"/>
      <c r="AQ49" s="39" t="s">
        <v>1433</v>
      </c>
    </row>
    <row r="52" spans="2:43" x14ac:dyDescent="0.25">
      <c r="C52">
        <v>502332</v>
      </c>
      <c r="D52" s="39" t="s">
        <v>1132</v>
      </c>
    </row>
    <row r="53" spans="2:43" x14ac:dyDescent="0.25">
      <c r="C53">
        <v>502332</v>
      </c>
      <c r="D53" s="39" t="s">
        <v>154</v>
      </c>
      <c r="T53" s="112" t="s">
        <v>1140</v>
      </c>
      <c r="U53" s="112" t="s">
        <v>1140</v>
      </c>
      <c r="V53" s="112" t="s">
        <v>1120</v>
      </c>
    </row>
    <row r="54" spans="2:43" x14ac:dyDescent="0.25">
      <c r="C54"/>
      <c r="D54" s="118" t="s">
        <v>1141</v>
      </c>
      <c r="G54" s="112" t="s">
        <v>1436</v>
      </c>
      <c r="I54" s="112" t="s">
        <v>1436</v>
      </c>
      <c r="U54" s="112" t="s">
        <v>1436</v>
      </c>
      <c r="AF54" s="112" t="s">
        <v>1436</v>
      </c>
      <c r="AG54" s="112" t="s">
        <v>1436</v>
      </c>
      <c r="AL54" s="112">
        <v>0</v>
      </c>
      <c r="AM54" s="112">
        <v>1</v>
      </c>
      <c r="AN54" s="39">
        <v>520</v>
      </c>
      <c r="AO54" s="39">
        <v>298</v>
      </c>
      <c r="AQ54" s="112" t="s">
        <v>1436</v>
      </c>
    </row>
    <row r="55" spans="2:43" x14ac:dyDescent="0.25">
      <c r="C55"/>
      <c r="D55" s="118" t="s">
        <v>1142</v>
      </c>
      <c r="G55" s="112" t="s">
        <v>1437</v>
      </c>
      <c r="I55" s="112" t="s">
        <v>1437</v>
      </c>
      <c r="U55" s="112" t="s">
        <v>1437</v>
      </c>
      <c r="AF55" s="112" t="s">
        <v>1437</v>
      </c>
      <c r="AG55" s="112" t="s">
        <v>1437</v>
      </c>
      <c r="AL55" s="112">
        <v>0</v>
      </c>
      <c r="AM55" s="112">
        <v>1</v>
      </c>
      <c r="AN55" s="39">
        <v>520</v>
      </c>
      <c r="AO55" s="39">
        <v>298</v>
      </c>
      <c r="AQ55" s="112" t="s">
        <v>1437</v>
      </c>
    </row>
    <row r="56" spans="2:43" x14ac:dyDescent="0.25">
      <c r="B56" s="119"/>
      <c r="C56"/>
      <c r="D56" s="120" t="s">
        <v>1432</v>
      </c>
      <c r="G56" s="39" t="s">
        <v>1433</v>
      </c>
      <c r="I56" s="112" t="s">
        <v>1434</v>
      </c>
      <c r="U56" s="112" t="s">
        <v>1434</v>
      </c>
      <c r="AF56" s="112" t="s">
        <v>1434</v>
      </c>
      <c r="AG56" s="112" t="s">
        <v>1434</v>
      </c>
      <c r="AI56" s="112" t="s">
        <v>1435</v>
      </c>
      <c r="AJ56" s="112" t="s">
        <v>1434</v>
      </c>
      <c r="AL56" s="112">
        <v>1</v>
      </c>
      <c r="AM56" s="112">
        <v>0</v>
      </c>
      <c r="AN56" s="39">
        <v>238</v>
      </c>
      <c r="AP56" s="112"/>
      <c r="AQ56" s="39" t="s">
        <v>1433</v>
      </c>
    </row>
    <row r="59" spans="2:43" x14ac:dyDescent="0.25">
      <c r="C59">
        <v>502333</v>
      </c>
      <c r="D59" s="39" t="s">
        <v>1132</v>
      </c>
    </row>
    <row r="60" spans="2:43" x14ac:dyDescent="0.25">
      <c r="C60">
        <v>502333</v>
      </c>
      <c r="D60" s="39" t="s">
        <v>154</v>
      </c>
      <c r="T60" s="112" t="s">
        <v>1140</v>
      </c>
      <c r="U60" s="112" t="s">
        <v>1140</v>
      </c>
      <c r="V60" s="112" t="s">
        <v>1120</v>
      </c>
    </row>
    <row r="61" spans="2:43" x14ac:dyDescent="0.25">
      <c r="C61"/>
      <c r="D61" s="118" t="s">
        <v>1141</v>
      </c>
      <c r="G61" s="112" t="s">
        <v>1436</v>
      </c>
      <c r="I61" s="112" t="s">
        <v>1436</v>
      </c>
      <c r="U61" s="112" t="s">
        <v>1436</v>
      </c>
      <c r="AF61" s="112" t="s">
        <v>1436</v>
      </c>
      <c r="AG61" s="112" t="s">
        <v>1436</v>
      </c>
      <c r="AL61" s="112">
        <v>0</v>
      </c>
      <c r="AM61" s="112">
        <v>1</v>
      </c>
      <c r="AN61" s="39">
        <v>720</v>
      </c>
      <c r="AO61" s="39">
        <v>298</v>
      </c>
      <c r="AQ61" s="112" t="s">
        <v>1436</v>
      </c>
    </row>
    <row r="62" spans="2:43" x14ac:dyDescent="0.25">
      <c r="C62"/>
      <c r="D62" s="118" t="s">
        <v>1142</v>
      </c>
      <c r="G62" s="112" t="s">
        <v>1437</v>
      </c>
      <c r="I62" s="112" t="s">
        <v>1437</v>
      </c>
      <c r="U62" s="112" t="s">
        <v>1437</v>
      </c>
      <c r="AF62" s="112" t="s">
        <v>1437</v>
      </c>
      <c r="AG62" s="112" t="s">
        <v>1437</v>
      </c>
      <c r="AL62" s="112">
        <v>0</v>
      </c>
      <c r="AM62" s="112">
        <v>1</v>
      </c>
      <c r="AN62" s="39">
        <v>720</v>
      </c>
      <c r="AO62" s="39">
        <v>298</v>
      </c>
      <c r="AQ62" s="112" t="s">
        <v>1437</v>
      </c>
    </row>
    <row r="63" spans="2:43" x14ac:dyDescent="0.25">
      <c r="B63" s="119"/>
      <c r="C63"/>
      <c r="D63" s="120" t="s">
        <v>1432</v>
      </c>
      <c r="G63" s="39" t="s">
        <v>1433</v>
      </c>
      <c r="I63" s="112" t="s">
        <v>1434</v>
      </c>
      <c r="U63" s="112" t="s">
        <v>1434</v>
      </c>
      <c r="AF63" s="112" t="s">
        <v>1434</v>
      </c>
      <c r="AG63" s="112" t="s">
        <v>1434</v>
      </c>
      <c r="AI63" s="112" t="s">
        <v>1435</v>
      </c>
      <c r="AJ63" s="112" t="s">
        <v>1434</v>
      </c>
      <c r="AL63" s="112">
        <v>1</v>
      </c>
      <c r="AM63" s="112">
        <v>0</v>
      </c>
      <c r="AN63" s="39">
        <v>238</v>
      </c>
      <c r="AP63" s="112"/>
      <c r="AQ63" s="39" t="s">
        <v>1433</v>
      </c>
    </row>
    <row r="66" spans="2:43" x14ac:dyDescent="0.25">
      <c r="C66">
        <v>502334</v>
      </c>
      <c r="D66" s="39" t="s">
        <v>1132</v>
      </c>
    </row>
    <row r="67" spans="2:43" x14ac:dyDescent="0.25">
      <c r="C67">
        <v>502334</v>
      </c>
      <c r="D67" s="39" t="s">
        <v>154</v>
      </c>
      <c r="T67" s="112" t="s">
        <v>1140</v>
      </c>
      <c r="U67" s="112" t="s">
        <v>1140</v>
      </c>
      <c r="V67" s="112" t="s">
        <v>1120</v>
      </c>
    </row>
    <row r="68" spans="2:43" x14ac:dyDescent="0.25">
      <c r="C68"/>
      <c r="D68" s="118" t="s">
        <v>1141</v>
      </c>
      <c r="G68" s="112" t="s">
        <v>1436</v>
      </c>
      <c r="I68" s="112" t="s">
        <v>1436</v>
      </c>
      <c r="U68" s="112" t="s">
        <v>1436</v>
      </c>
      <c r="AF68" s="112" t="s">
        <v>1436</v>
      </c>
      <c r="AG68" s="112" t="s">
        <v>1436</v>
      </c>
      <c r="AL68" s="112">
        <v>0</v>
      </c>
      <c r="AM68" s="112">
        <v>1</v>
      </c>
      <c r="AN68" s="39">
        <v>920</v>
      </c>
      <c r="AO68" s="39">
        <v>298</v>
      </c>
      <c r="AQ68" s="112" t="s">
        <v>1436</v>
      </c>
    </row>
    <row r="69" spans="2:43" x14ac:dyDescent="0.25">
      <c r="C69"/>
      <c r="D69" s="118" t="s">
        <v>1142</v>
      </c>
      <c r="G69" s="112" t="s">
        <v>1437</v>
      </c>
      <c r="I69" s="112" t="s">
        <v>1437</v>
      </c>
      <c r="U69" s="112" t="s">
        <v>1437</v>
      </c>
      <c r="AF69" s="112" t="s">
        <v>1437</v>
      </c>
      <c r="AG69" s="112" t="s">
        <v>1437</v>
      </c>
      <c r="AL69" s="112">
        <v>0</v>
      </c>
      <c r="AM69" s="112">
        <v>1</v>
      </c>
      <c r="AN69" s="39">
        <v>920</v>
      </c>
      <c r="AO69" s="39">
        <v>298</v>
      </c>
      <c r="AQ69" s="112" t="s">
        <v>1437</v>
      </c>
    </row>
    <row r="70" spans="2:43" x14ac:dyDescent="0.25">
      <c r="B70" s="119"/>
      <c r="C70"/>
      <c r="D70" s="120" t="s">
        <v>1432</v>
      </c>
      <c r="G70" s="39" t="s">
        <v>1433</v>
      </c>
      <c r="I70" s="112" t="s">
        <v>1434</v>
      </c>
      <c r="U70" s="112" t="s">
        <v>1434</v>
      </c>
      <c r="AF70" s="112" t="s">
        <v>1434</v>
      </c>
      <c r="AG70" s="112" t="s">
        <v>1434</v>
      </c>
      <c r="AI70" s="112" t="s">
        <v>1435</v>
      </c>
      <c r="AJ70" s="112" t="s">
        <v>1434</v>
      </c>
      <c r="AL70" s="112">
        <v>1</v>
      </c>
      <c r="AM70" s="112">
        <v>0</v>
      </c>
      <c r="AN70" s="39">
        <v>238</v>
      </c>
      <c r="AP70" s="112"/>
      <c r="AQ70" s="39" t="s">
        <v>1433</v>
      </c>
    </row>
    <row r="73" spans="2:43" x14ac:dyDescent="0.25">
      <c r="C73">
        <v>502335</v>
      </c>
      <c r="D73" s="39" t="s">
        <v>1132</v>
      </c>
    </row>
    <row r="74" spans="2:43" x14ac:dyDescent="0.25">
      <c r="C74">
        <v>502335</v>
      </c>
      <c r="D74" s="39" t="s">
        <v>154</v>
      </c>
      <c r="T74" s="112" t="s">
        <v>1140</v>
      </c>
      <c r="U74" s="112" t="s">
        <v>1140</v>
      </c>
      <c r="V74" s="112" t="s">
        <v>1120</v>
      </c>
    </row>
    <row r="75" spans="2:43" x14ac:dyDescent="0.25">
      <c r="C75"/>
      <c r="D75" s="118" t="s">
        <v>1141</v>
      </c>
      <c r="G75" s="112" t="s">
        <v>1436</v>
      </c>
      <c r="I75" s="112" t="s">
        <v>1436</v>
      </c>
      <c r="U75" s="112" t="s">
        <v>1436</v>
      </c>
      <c r="AF75" s="112" t="s">
        <v>1436</v>
      </c>
      <c r="AG75" s="112" t="s">
        <v>1436</v>
      </c>
      <c r="AL75" s="112">
        <v>0</v>
      </c>
      <c r="AM75" s="112">
        <v>1</v>
      </c>
      <c r="AN75" s="39">
        <v>1120</v>
      </c>
      <c r="AO75" s="39">
        <v>298</v>
      </c>
      <c r="AQ75" s="112" t="s">
        <v>1436</v>
      </c>
    </row>
    <row r="76" spans="2:43" x14ac:dyDescent="0.25">
      <c r="C76"/>
      <c r="D76" s="118" t="s">
        <v>1142</v>
      </c>
      <c r="G76" s="112" t="s">
        <v>1437</v>
      </c>
      <c r="I76" s="112" t="s">
        <v>1437</v>
      </c>
      <c r="U76" s="112" t="s">
        <v>1437</v>
      </c>
      <c r="AF76" s="112" t="s">
        <v>1437</v>
      </c>
      <c r="AG76" s="112" t="s">
        <v>1437</v>
      </c>
      <c r="AL76" s="112">
        <v>0</v>
      </c>
      <c r="AM76" s="112">
        <v>1</v>
      </c>
      <c r="AN76" s="39">
        <v>1120</v>
      </c>
      <c r="AO76" s="39">
        <v>298</v>
      </c>
      <c r="AQ76" s="112" t="s">
        <v>1437</v>
      </c>
    </row>
    <row r="77" spans="2:43" x14ac:dyDescent="0.25">
      <c r="B77" s="119"/>
      <c r="C77"/>
      <c r="D77" s="120" t="s">
        <v>1432</v>
      </c>
      <c r="G77" s="39" t="s">
        <v>1433</v>
      </c>
      <c r="I77" s="112" t="s">
        <v>1434</v>
      </c>
      <c r="U77" s="112" t="s">
        <v>1434</v>
      </c>
      <c r="AF77" s="112" t="s">
        <v>1434</v>
      </c>
      <c r="AG77" s="112" t="s">
        <v>1434</v>
      </c>
      <c r="AI77" s="112" t="s">
        <v>1435</v>
      </c>
      <c r="AJ77" s="112" t="s">
        <v>1434</v>
      </c>
      <c r="AL77" s="112">
        <v>1</v>
      </c>
      <c r="AM77" s="112">
        <v>0</v>
      </c>
      <c r="AN77" s="39">
        <v>238</v>
      </c>
      <c r="AP77" s="112"/>
      <c r="AQ77" s="39" t="s">
        <v>1433</v>
      </c>
    </row>
    <row r="80" spans="2:43" x14ac:dyDescent="0.25">
      <c r="C80">
        <v>502336</v>
      </c>
      <c r="D80" s="39" t="s">
        <v>1132</v>
      </c>
    </row>
    <row r="81" spans="2:43" x14ac:dyDescent="0.25">
      <c r="C81">
        <v>502336</v>
      </c>
      <c r="D81" s="39" t="s">
        <v>154</v>
      </c>
      <c r="T81" s="112" t="s">
        <v>1140</v>
      </c>
      <c r="U81" s="112" t="s">
        <v>1140</v>
      </c>
      <c r="V81" s="112" t="s">
        <v>1120</v>
      </c>
    </row>
    <row r="82" spans="2:43" x14ac:dyDescent="0.25">
      <c r="C82"/>
      <c r="D82" s="118" t="s">
        <v>1141</v>
      </c>
      <c r="G82" s="112" t="s">
        <v>1436</v>
      </c>
      <c r="I82" s="112" t="s">
        <v>1436</v>
      </c>
      <c r="U82" s="112" t="s">
        <v>1436</v>
      </c>
      <c r="AF82" s="112" t="s">
        <v>1436</v>
      </c>
      <c r="AG82" s="112" t="s">
        <v>1436</v>
      </c>
      <c r="AL82" s="112">
        <v>0</v>
      </c>
      <c r="AM82" s="112">
        <v>1</v>
      </c>
      <c r="AN82" s="39">
        <v>520</v>
      </c>
      <c r="AO82" s="39">
        <v>498</v>
      </c>
      <c r="AQ82" s="112" t="s">
        <v>1436</v>
      </c>
    </row>
    <row r="83" spans="2:43" x14ac:dyDescent="0.25">
      <c r="C83"/>
      <c r="D83" s="118" t="s">
        <v>1142</v>
      </c>
      <c r="G83" s="112" t="s">
        <v>1437</v>
      </c>
      <c r="I83" s="112" t="s">
        <v>1437</v>
      </c>
      <c r="U83" s="112" t="s">
        <v>1437</v>
      </c>
      <c r="AF83" s="112" t="s">
        <v>1437</v>
      </c>
      <c r="AG83" s="112" t="s">
        <v>1437</v>
      </c>
      <c r="AL83" s="112">
        <v>0</v>
      </c>
      <c r="AM83" s="112">
        <v>1</v>
      </c>
      <c r="AN83" s="39">
        <v>520</v>
      </c>
      <c r="AO83" s="39">
        <v>498</v>
      </c>
      <c r="AQ83" s="112" t="s">
        <v>1437</v>
      </c>
    </row>
    <row r="84" spans="2:43" x14ac:dyDescent="0.25">
      <c r="B84" s="119"/>
      <c r="C84"/>
      <c r="D84" s="120" t="s">
        <v>1432</v>
      </c>
      <c r="G84" s="39" t="s">
        <v>1433</v>
      </c>
      <c r="I84" s="112" t="s">
        <v>1434</v>
      </c>
      <c r="U84" s="112" t="s">
        <v>1434</v>
      </c>
      <c r="AF84" s="112" t="s">
        <v>1434</v>
      </c>
      <c r="AG84" s="112" t="s">
        <v>1434</v>
      </c>
      <c r="AI84" s="112" t="s">
        <v>1435</v>
      </c>
      <c r="AJ84" s="112" t="s">
        <v>1434</v>
      </c>
      <c r="AL84" s="112">
        <v>1</v>
      </c>
      <c r="AM84" s="112">
        <v>0</v>
      </c>
      <c r="AN84" s="39">
        <v>238</v>
      </c>
      <c r="AP84" s="112"/>
      <c r="AQ84" s="39" t="s">
        <v>1433</v>
      </c>
    </row>
    <row r="87" spans="2:43" x14ac:dyDescent="0.25">
      <c r="C87">
        <v>502337</v>
      </c>
      <c r="D87" s="39" t="s">
        <v>1132</v>
      </c>
    </row>
    <row r="88" spans="2:43" x14ac:dyDescent="0.25">
      <c r="C88">
        <v>502337</v>
      </c>
      <c r="D88" s="39" t="s">
        <v>154</v>
      </c>
      <c r="T88" s="112" t="s">
        <v>1140</v>
      </c>
      <c r="U88" s="112" t="s">
        <v>1140</v>
      </c>
      <c r="V88" s="112" t="s">
        <v>1120</v>
      </c>
    </row>
    <row r="89" spans="2:43" x14ac:dyDescent="0.25">
      <c r="C89"/>
      <c r="D89" s="118" t="s">
        <v>1141</v>
      </c>
      <c r="G89" s="112" t="s">
        <v>1436</v>
      </c>
      <c r="I89" s="112" t="s">
        <v>1436</v>
      </c>
      <c r="U89" s="112" t="s">
        <v>1436</v>
      </c>
      <c r="AF89" s="112" t="s">
        <v>1436</v>
      </c>
      <c r="AG89" s="112" t="s">
        <v>1436</v>
      </c>
      <c r="AL89" s="112">
        <v>0</v>
      </c>
      <c r="AM89" s="112">
        <v>1</v>
      </c>
      <c r="AN89" s="39">
        <v>720</v>
      </c>
      <c r="AO89" s="39">
        <v>498</v>
      </c>
      <c r="AQ89" s="112" t="s">
        <v>1436</v>
      </c>
    </row>
    <row r="90" spans="2:43" x14ac:dyDescent="0.25">
      <c r="C90"/>
      <c r="D90" s="118" t="s">
        <v>1142</v>
      </c>
      <c r="G90" s="112" t="s">
        <v>1437</v>
      </c>
      <c r="I90" s="112" t="s">
        <v>1437</v>
      </c>
      <c r="U90" s="112" t="s">
        <v>1437</v>
      </c>
      <c r="AF90" s="112" t="s">
        <v>1437</v>
      </c>
      <c r="AG90" s="112" t="s">
        <v>1437</v>
      </c>
      <c r="AL90" s="112">
        <v>0</v>
      </c>
      <c r="AM90" s="112">
        <v>1</v>
      </c>
      <c r="AN90" s="39">
        <v>720</v>
      </c>
      <c r="AO90" s="39">
        <v>498</v>
      </c>
      <c r="AQ90" s="112" t="s">
        <v>1437</v>
      </c>
    </row>
    <row r="91" spans="2:43" x14ac:dyDescent="0.25">
      <c r="B91" s="119"/>
      <c r="C91"/>
      <c r="D91" s="120" t="s">
        <v>1432</v>
      </c>
      <c r="G91" s="39" t="s">
        <v>1433</v>
      </c>
      <c r="I91" s="112" t="s">
        <v>1434</v>
      </c>
      <c r="U91" s="112" t="s">
        <v>1434</v>
      </c>
      <c r="AF91" s="112" t="s">
        <v>1434</v>
      </c>
      <c r="AG91" s="112" t="s">
        <v>1434</v>
      </c>
      <c r="AI91" s="112" t="s">
        <v>1435</v>
      </c>
      <c r="AJ91" s="112" t="s">
        <v>1434</v>
      </c>
      <c r="AL91" s="112">
        <v>1</v>
      </c>
      <c r="AM91" s="112">
        <v>0</v>
      </c>
      <c r="AN91" s="39">
        <v>238</v>
      </c>
      <c r="AP91" s="112"/>
      <c r="AQ91" s="39" t="s">
        <v>1433</v>
      </c>
    </row>
    <row r="94" spans="2:43" x14ac:dyDescent="0.25">
      <c r="C94">
        <v>502338</v>
      </c>
      <c r="D94" s="39" t="s">
        <v>1132</v>
      </c>
    </row>
    <row r="95" spans="2:43" x14ac:dyDescent="0.25">
      <c r="C95">
        <v>502338</v>
      </c>
      <c r="D95" s="39" t="s">
        <v>154</v>
      </c>
      <c r="T95" s="112" t="s">
        <v>1140</v>
      </c>
      <c r="U95" s="112" t="s">
        <v>1140</v>
      </c>
      <c r="V95" s="112" t="s">
        <v>1120</v>
      </c>
    </row>
    <row r="96" spans="2:43" x14ac:dyDescent="0.25">
      <c r="C96"/>
      <c r="D96" s="118" t="s">
        <v>1141</v>
      </c>
      <c r="G96" s="112" t="s">
        <v>1436</v>
      </c>
      <c r="I96" s="112" t="s">
        <v>1436</v>
      </c>
      <c r="U96" s="112" t="s">
        <v>1436</v>
      </c>
      <c r="AF96" s="112" t="s">
        <v>1436</v>
      </c>
      <c r="AG96" s="112" t="s">
        <v>1436</v>
      </c>
      <c r="AL96" s="112">
        <v>0</v>
      </c>
      <c r="AM96" s="112">
        <v>1</v>
      </c>
      <c r="AN96" s="39">
        <v>920</v>
      </c>
      <c r="AO96" s="39">
        <v>498</v>
      </c>
      <c r="AQ96" s="112" t="s">
        <v>1436</v>
      </c>
    </row>
    <row r="97" spans="2:43" x14ac:dyDescent="0.25">
      <c r="C97"/>
      <c r="D97" s="118" t="s">
        <v>1142</v>
      </c>
      <c r="G97" s="112" t="s">
        <v>1437</v>
      </c>
      <c r="I97" s="112" t="s">
        <v>1437</v>
      </c>
      <c r="U97" s="112" t="s">
        <v>1437</v>
      </c>
      <c r="AF97" s="112" t="s">
        <v>1437</v>
      </c>
      <c r="AG97" s="112" t="s">
        <v>1437</v>
      </c>
      <c r="AL97" s="112">
        <v>0</v>
      </c>
      <c r="AM97" s="112">
        <v>1</v>
      </c>
      <c r="AN97" s="39">
        <v>920</v>
      </c>
      <c r="AO97" s="39">
        <v>498</v>
      </c>
      <c r="AQ97" s="112" t="s">
        <v>1437</v>
      </c>
    </row>
    <row r="98" spans="2:43" x14ac:dyDescent="0.25">
      <c r="B98" s="119"/>
      <c r="C98"/>
      <c r="D98" s="120" t="s">
        <v>1432</v>
      </c>
      <c r="G98" s="39" t="s">
        <v>1433</v>
      </c>
      <c r="I98" s="112" t="s">
        <v>1434</v>
      </c>
      <c r="U98" s="112" t="s">
        <v>1434</v>
      </c>
      <c r="AF98" s="112" t="s">
        <v>1434</v>
      </c>
      <c r="AG98" s="112" t="s">
        <v>1434</v>
      </c>
      <c r="AI98" s="112" t="s">
        <v>1435</v>
      </c>
      <c r="AJ98" s="112" t="s">
        <v>1434</v>
      </c>
      <c r="AL98" s="112">
        <v>1</v>
      </c>
      <c r="AM98" s="112">
        <v>0</v>
      </c>
      <c r="AN98" s="39">
        <v>238</v>
      </c>
      <c r="AP98" s="112"/>
      <c r="AQ98" s="39" t="s">
        <v>1433</v>
      </c>
    </row>
    <row r="101" spans="2:43" x14ac:dyDescent="0.25">
      <c r="C101">
        <v>502339</v>
      </c>
      <c r="D101" s="39" t="s">
        <v>1132</v>
      </c>
    </row>
    <row r="102" spans="2:43" x14ac:dyDescent="0.25">
      <c r="C102">
        <v>502339</v>
      </c>
      <c r="D102" s="39" t="s">
        <v>154</v>
      </c>
      <c r="T102" s="112" t="s">
        <v>1140</v>
      </c>
      <c r="U102" s="112" t="s">
        <v>1140</v>
      </c>
      <c r="V102" s="112" t="s">
        <v>1120</v>
      </c>
    </row>
    <row r="103" spans="2:43" x14ac:dyDescent="0.25">
      <c r="C103"/>
      <c r="D103" s="118" t="s">
        <v>1141</v>
      </c>
      <c r="G103" s="112" t="s">
        <v>1436</v>
      </c>
      <c r="I103" s="112" t="s">
        <v>1436</v>
      </c>
      <c r="U103" s="112" t="s">
        <v>1436</v>
      </c>
      <c r="AF103" s="112" t="s">
        <v>1436</v>
      </c>
      <c r="AG103" s="112" t="s">
        <v>1436</v>
      </c>
      <c r="AL103" s="112">
        <v>0</v>
      </c>
      <c r="AM103" s="112">
        <v>1</v>
      </c>
      <c r="AN103" s="39">
        <v>1120</v>
      </c>
      <c r="AO103" s="39">
        <v>498</v>
      </c>
      <c r="AQ103" s="112" t="s">
        <v>1436</v>
      </c>
    </row>
    <row r="104" spans="2:43" x14ac:dyDescent="0.25">
      <c r="C104"/>
      <c r="D104" s="118" t="s">
        <v>1142</v>
      </c>
      <c r="G104" s="112" t="s">
        <v>1437</v>
      </c>
      <c r="I104" s="112" t="s">
        <v>1437</v>
      </c>
      <c r="U104" s="112" t="s">
        <v>1437</v>
      </c>
      <c r="AF104" s="112" t="s">
        <v>1437</v>
      </c>
      <c r="AG104" s="112" t="s">
        <v>1437</v>
      </c>
      <c r="AL104" s="112">
        <v>0</v>
      </c>
      <c r="AM104" s="112">
        <v>1</v>
      </c>
      <c r="AN104" s="39">
        <v>1120</v>
      </c>
      <c r="AO104" s="39">
        <v>498</v>
      </c>
      <c r="AQ104" s="112" t="s">
        <v>1437</v>
      </c>
    </row>
    <row r="105" spans="2:43" x14ac:dyDescent="0.25">
      <c r="B105" s="119"/>
      <c r="C105"/>
      <c r="D105" s="120" t="s">
        <v>1432</v>
      </c>
      <c r="G105" s="39" t="s">
        <v>1433</v>
      </c>
      <c r="I105" s="112" t="s">
        <v>1434</v>
      </c>
      <c r="U105" s="112" t="s">
        <v>1434</v>
      </c>
      <c r="AF105" s="112" t="s">
        <v>1434</v>
      </c>
      <c r="AG105" s="112" t="s">
        <v>1434</v>
      </c>
      <c r="AI105" s="112" t="s">
        <v>1435</v>
      </c>
      <c r="AJ105" s="112" t="s">
        <v>1434</v>
      </c>
      <c r="AL105" s="112">
        <v>1</v>
      </c>
      <c r="AM105" s="112">
        <v>0</v>
      </c>
      <c r="AN105" s="39">
        <v>238</v>
      </c>
      <c r="AP105" s="112"/>
      <c r="AQ105" s="39" t="s">
        <v>1433</v>
      </c>
    </row>
    <row r="108" spans="2:43" x14ac:dyDescent="0.25">
      <c r="C108">
        <v>502340</v>
      </c>
      <c r="D108" s="39" t="s">
        <v>1132</v>
      </c>
    </row>
    <row r="109" spans="2:43" x14ac:dyDescent="0.25">
      <c r="C109">
        <v>502340</v>
      </c>
      <c r="D109" s="39" t="s">
        <v>154</v>
      </c>
      <c r="T109" s="112" t="s">
        <v>1140</v>
      </c>
      <c r="U109" s="112" t="s">
        <v>1140</v>
      </c>
      <c r="V109" s="112" t="s">
        <v>1120</v>
      </c>
    </row>
    <row r="110" spans="2:43" x14ac:dyDescent="0.25">
      <c r="C110"/>
      <c r="D110" s="118" t="s">
        <v>1141</v>
      </c>
      <c r="G110" s="112" t="s">
        <v>1436</v>
      </c>
      <c r="I110" s="112" t="s">
        <v>1436</v>
      </c>
      <c r="U110" s="112" t="s">
        <v>1436</v>
      </c>
      <c r="AF110" s="112" t="s">
        <v>1436</v>
      </c>
      <c r="AG110" s="112" t="s">
        <v>1436</v>
      </c>
      <c r="AL110" s="112">
        <v>0</v>
      </c>
      <c r="AM110" s="112">
        <v>1</v>
      </c>
      <c r="AN110" s="39">
        <v>720</v>
      </c>
      <c r="AO110" s="39">
        <v>798</v>
      </c>
      <c r="AQ110" s="112" t="s">
        <v>1436</v>
      </c>
    </row>
    <row r="111" spans="2:43" x14ac:dyDescent="0.25">
      <c r="C111"/>
      <c r="D111" s="118" t="s">
        <v>1142</v>
      </c>
      <c r="G111" s="112" t="s">
        <v>1437</v>
      </c>
      <c r="I111" s="112" t="s">
        <v>1437</v>
      </c>
      <c r="U111" s="112" t="s">
        <v>1437</v>
      </c>
      <c r="AF111" s="112" t="s">
        <v>1437</v>
      </c>
      <c r="AG111" s="112" t="s">
        <v>1437</v>
      </c>
      <c r="AL111" s="112">
        <v>0</v>
      </c>
      <c r="AM111" s="112">
        <v>1</v>
      </c>
      <c r="AN111" s="39">
        <v>720</v>
      </c>
      <c r="AO111" s="39">
        <v>798</v>
      </c>
      <c r="AQ111" s="112" t="s">
        <v>1437</v>
      </c>
    </row>
    <row r="112" spans="2:43" x14ac:dyDescent="0.25">
      <c r="B112" s="119"/>
      <c r="C112"/>
      <c r="D112" s="120" t="s">
        <v>1432</v>
      </c>
      <c r="G112" s="39" t="s">
        <v>1433</v>
      </c>
      <c r="I112" s="112" t="s">
        <v>1434</v>
      </c>
      <c r="U112" s="112" t="s">
        <v>1434</v>
      </c>
      <c r="AF112" s="112" t="s">
        <v>1434</v>
      </c>
      <c r="AG112" s="112" t="s">
        <v>1434</v>
      </c>
      <c r="AI112" s="112" t="s">
        <v>1435</v>
      </c>
      <c r="AJ112" s="112" t="s">
        <v>1434</v>
      </c>
      <c r="AL112" s="112">
        <v>1</v>
      </c>
      <c r="AM112" s="112">
        <v>0</v>
      </c>
      <c r="AN112" s="39">
        <v>238</v>
      </c>
      <c r="AP112" s="112"/>
      <c r="AQ112" s="39" t="s">
        <v>1433</v>
      </c>
    </row>
    <row r="115" spans="2:43" x14ac:dyDescent="0.25">
      <c r="C115">
        <v>502341</v>
      </c>
      <c r="D115" s="39" t="s">
        <v>1132</v>
      </c>
    </row>
    <row r="116" spans="2:43" x14ac:dyDescent="0.25">
      <c r="C116">
        <v>502341</v>
      </c>
      <c r="D116" s="39" t="s">
        <v>154</v>
      </c>
      <c r="T116" s="112" t="s">
        <v>1140</v>
      </c>
      <c r="U116" s="112" t="s">
        <v>1140</v>
      </c>
      <c r="V116" s="112" t="s">
        <v>1120</v>
      </c>
    </row>
    <row r="117" spans="2:43" x14ac:dyDescent="0.25">
      <c r="C117"/>
      <c r="D117" s="118" t="s">
        <v>1141</v>
      </c>
      <c r="G117" s="112" t="s">
        <v>1436</v>
      </c>
      <c r="I117" s="112" t="s">
        <v>1436</v>
      </c>
      <c r="U117" s="112" t="s">
        <v>1436</v>
      </c>
      <c r="AF117" s="112" t="s">
        <v>1436</v>
      </c>
      <c r="AG117" s="112" t="s">
        <v>1436</v>
      </c>
      <c r="AL117" s="112">
        <v>0</v>
      </c>
      <c r="AM117" s="112">
        <v>1</v>
      </c>
      <c r="AN117" s="39">
        <v>920</v>
      </c>
      <c r="AO117" s="39">
        <v>798</v>
      </c>
      <c r="AQ117" s="112" t="s">
        <v>1436</v>
      </c>
    </row>
    <row r="118" spans="2:43" x14ac:dyDescent="0.25">
      <c r="C118"/>
      <c r="D118" s="118" t="s">
        <v>1142</v>
      </c>
      <c r="G118" s="112" t="s">
        <v>1437</v>
      </c>
      <c r="I118" s="112" t="s">
        <v>1437</v>
      </c>
      <c r="U118" s="112" t="s">
        <v>1437</v>
      </c>
      <c r="AF118" s="112" t="s">
        <v>1437</v>
      </c>
      <c r="AG118" s="112" t="s">
        <v>1437</v>
      </c>
      <c r="AL118" s="112">
        <v>0</v>
      </c>
      <c r="AM118" s="112">
        <v>1</v>
      </c>
      <c r="AN118" s="39">
        <v>920</v>
      </c>
      <c r="AO118" s="39">
        <v>798</v>
      </c>
      <c r="AQ118" s="112" t="s">
        <v>1437</v>
      </c>
    </row>
    <row r="119" spans="2:43" x14ac:dyDescent="0.25">
      <c r="B119" s="119"/>
      <c r="C119"/>
      <c r="D119" s="120" t="s">
        <v>1432</v>
      </c>
      <c r="G119" s="39" t="s">
        <v>1433</v>
      </c>
      <c r="I119" s="112" t="s">
        <v>1434</v>
      </c>
      <c r="U119" s="112" t="s">
        <v>1434</v>
      </c>
      <c r="AF119" s="112" t="s">
        <v>1434</v>
      </c>
      <c r="AG119" s="112" t="s">
        <v>1434</v>
      </c>
      <c r="AI119" s="112" t="s">
        <v>1435</v>
      </c>
      <c r="AJ119" s="112" t="s">
        <v>1434</v>
      </c>
      <c r="AL119" s="112">
        <v>1</v>
      </c>
      <c r="AM119" s="112">
        <v>0</v>
      </c>
      <c r="AN119" s="39">
        <v>238</v>
      </c>
      <c r="AP119" s="112"/>
      <c r="AQ119" s="39" t="s">
        <v>1433</v>
      </c>
    </row>
    <row r="122" spans="2:43" x14ac:dyDescent="0.25">
      <c r="C122">
        <v>502342</v>
      </c>
      <c r="D122" s="39" t="s">
        <v>1132</v>
      </c>
    </row>
    <row r="123" spans="2:43" x14ac:dyDescent="0.25">
      <c r="C123">
        <v>502342</v>
      </c>
      <c r="D123" s="39" t="s">
        <v>154</v>
      </c>
      <c r="T123" s="112" t="s">
        <v>1140</v>
      </c>
      <c r="U123" s="112" t="s">
        <v>1140</v>
      </c>
      <c r="V123" s="112" t="s">
        <v>1120</v>
      </c>
    </row>
    <row r="124" spans="2:43" x14ac:dyDescent="0.25">
      <c r="C124"/>
      <c r="D124" s="118" t="s">
        <v>1141</v>
      </c>
      <c r="G124" s="112" t="s">
        <v>1436</v>
      </c>
      <c r="I124" s="112" t="s">
        <v>1436</v>
      </c>
      <c r="U124" s="112" t="s">
        <v>1436</v>
      </c>
      <c r="AF124" s="112" t="s">
        <v>1436</v>
      </c>
      <c r="AG124" s="112" t="s">
        <v>1436</v>
      </c>
      <c r="AL124" s="112">
        <v>0</v>
      </c>
      <c r="AM124" s="112">
        <v>1</v>
      </c>
      <c r="AN124" s="39">
        <v>1120</v>
      </c>
      <c r="AO124" s="39">
        <v>798</v>
      </c>
      <c r="AQ124" s="112" t="s">
        <v>1436</v>
      </c>
    </row>
    <row r="125" spans="2:43" x14ac:dyDescent="0.25">
      <c r="C125"/>
      <c r="D125" s="118" t="s">
        <v>1142</v>
      </c>
      <c r="G125" s="112" t="s">
        <v>1437</v>
      </c>
      <c r="I125" s="112" t="s">
        <v>1437</v>
      </c>
      <c r="U125" s="112" t="s">
        <v>1437</v>
      </c>
      <c r="AF125" s="112" t="s">
        <v>1437</v>
      </c>
      <c r="AG125" s="112" t="s">
        <v>1437</v>
      </c>
      <c r="AL125" s="112">
        <v>0</v>
      </c>
      <c r="AM125" s="112">
        <v>1</v>
      </c>
      <c r="AN125" s="39">
        <v>1120</v>
      </c>
      <c r="AO125" s="39">
        <v>798</v>
      </c>
      <c r="AQ125" s="112" t="s">
        <v>1437</v>
      </c>
    </row>
    <row r="126" spans="2:43" x14ac:dyDescent="0.25">
      <c r="B126" s="119"/>
      <c r="C126"/>
      <c r="D126" s="120" t="s">
        <v>1432</v>
      </c>
      <c r="G126" s="39" t="s">
        <v>1433</v>
      </c>
      <c r="I126" s="112" t="s">
        <v>1434</v>
      </c>
      <c r="U126" s="112" t="s">
        <v>1434</v>
      </c>
      <c r="AF126" s="112" t="s">
        <v>1434</v>
      </c>
      <c r="AG126" s="112" t="s">
        <v>1434</v>
      </c>
      <c r="AI126" s="112" t="s">
        <v>1435</v>
      </c>
      <c r="AJ126" s="112" t="s">
        <v>1434</v>
      </c>
      <c r="AL126" s="112">
        <v>1</v>
      </c>
      <c r="AM126" s="112">
        <v>0</v>
      </c>
      <c r="AN126" s="39">
        <v>238</v>
      </c>
      <c r="AP126" s="112"/>
      <c r="AQ126" s="39" t="s">
        <v>1433</v>
      </c>
    </row>
    <row r="129" spans="2:152" x14ac:dyDescent="0.25">
      <c r="C129">
        <v>502343</v>
      </c>
      <c r="D129" s="39" t="s">
        <v>1132</v>
      </c>
    </row>
    <row r="130" spans="2:152" x14ac:dyDescent="0.25">
      <c r="C130">
        <v>502343</v>
      </c>
      <c r="D130" s="39" t="s">
        <v>154</v>
      </c>
      <c r="T130" s="112" t="s">
        <v>1140</v>
      </c>
      <c r="U130" s="112" t="s">
        <v>1140</v>
      </c>
      <c r="V130" s="112" t="s">
        <v>1120</v>
      </c>
    </row>
    <row r="131" spans="2:152" x14ac:dyDescent="0.25">
      <c r="C131">
        <v>502343</v>
      </c>
      <c r="D131" s="118" t="s">
        <v>1141</v>
      </c>
      <c r="G131" s="112" t="s">
        <v>1436</v>
      </c>
      <c r="I131" s="112" t="s">
        <v>1436</v>
      </c>
      <c r="U131" s="112" t="s">
        <v>1436</v>
      </c>
      <c r="AF131" s="112" t="s">
        <v>1436</v>
      </c>
      <c r="AG131" s="112" t="s">
        <v>1436</v>
      </c>
      <c r="AL131" s="112">
        <v>0</v>
      </c>
      <c r="AM131" s="112">
        <v>1</v>
      </c>
      <c r="AN131" s="39">
        <v>320</v>
      </c>
      <c r="AO131" s="39">
        <v>398</v>
      </c>
      <c r="AQ131" s="112" t="s">
        <v>1436</v>
      </c>
    </row>
    <row r="132" spans="2:152" x14ac:dyDescent="0.25">
      <c r="C132">
        <v>502343</v>
      </c>
      <c r="D132" s="118" t="s">
        <v>1142</v>
      </c>
      <c r="G132" s="112" t="s">
        <v>1437</v>
      </c>
      <c r="I132" s="112" t="s">
        <v>1437</v>
      </c>
      <c r="U132" s="112" t="s">
        <v>1437</v>
      </c>
      <c r="AF132" s="112" t="s">
        <v>1437</v>
      </c>
      <c r="AG132" s="112" t="s">
        <v>1437</v>
      </c>
      <c r="AL132" s="112">
        <v>0</v>
      </c>
      <c r="AM132" s="112">
        <v>1</v>
      </c>
      <c r="AN132" s="39">
        <v>320</v>
      </c>
      <c r="AO132" s="39">
        <v>398</v>
      </c>
      <c r="AQ132" s="112" t="s">
        <v>1437</v>
      </c>
    </row>
    <row r="133" spans="2:152" x14ac:dyDescent="0.25">
      <c r="B133" s="119"/>
      <c r="C133"/>
      <c r="D133" s="120" t="s">
        <v>1432</v>
      </c>
      <c r="G133" s="39" t="s">
        <v>1433</v>
      </c>
      <c r="I133" s="112" t="s">
        <v>1434</v>
      </c>
      <c r="U133" s="112" t="s">
        <v>1434</v>
      </c>
      <c r="AF133" s="112" t="s">
        <v>1434</v>
      </c>
      <c r="AG133" s="112" t="s">
        <v>1434</v>
      </c>
      <c r="AI133" s="112" t="s">
        <v>1435</v>
      </c>
      <c r="AJ133" s="112" t="s">
        <v>1434</v>
      </c>
      <c r="AL133" s="112">
        <v>1</v>
      </c>
      <c r="AM133" s="112">
        <v>0</v>
      </c>
      <c r="AN133" s="39">
        <v>238</v>
      </c>
      <c r="AP133" s="112"/>
      <c r="AQ133" s="39" t="s">
        <v>1433</v>
      </c>
    </row>
    <row r="134" spans="2:152" x14ac:dyDescent="0.25">
      <c r="C134">
        <v>502343</v>
      </c>
      <c r="D134" s="39" t="s">
        <v>1438</v>
      </c>
      <c r="EN134" s="39" t="s">
        <v>1142</v>
      </c>
      <c r="EO134" s="39" t="s">
        <v>1438</v>
      </c>
      <c r="EP134" s="39">
        <v>101</v>
      </c>
      <c r="EQ134" s="39">
        <v>96</v>
      </c>
      <c r="ES134" s="39">
        <v>4</v>
      </c>
      <c r="EV134" s="39">
        <v>2</v>
      </c>
    </row>
    <row r="135" spans="2:152" x14ac:dyDescent="0.25">
      <c r="C135">
        <v>502343</v>
      </c>
      <c r="D135" s="39" t="s">
        <v>1440</v>
      </c>
      <c r="EN135" s="39" t="s">
        <v>1142</v>
      </c>
      <c r="EO135" s="39" t="s">
        <v>1440</v>
      </c>
      <c r="EP135" s="39">
        <v>88</v>
      </c>
      <c r="EQ135" s="39">
        <v>24</v>
      </c>
      <c r="ES135" s="39">
        <v>4</v>
      </c>
      <c r="EV135" s="39">
        <v>2</v>
      </c>
    </row>
    <row r="136" spans="2:152" x14ac:dyDescent="0.25">
      <c r="C136">
        <v>502343</v>
      </c>
      <c r="D136" s="39" t="s">
        <v>1441</v>
      </c>
      <c r="EN136" s="39" t="s">
        <v>1142</v>
      </c>
      <c r="EO136" s="39" t="s">
        <v>1441</v>
      </c>
      <c r="EP136" s="39">
        <v>20</v>
      </c>
      <c r="EQ136" s="39">
        <v>52</v>
      </c>
      <c r="ES136" s="39">
        <v>4</v>
      </c>
      <c r="EV136" s="39">
        <v>2</v>
      </c>
    </row>
    <row r="137" spans="2:152" x14ac:dyDescent="0.25">
      <c r="C137">
        <v>502343</v>
      </c>
      <c r="D137" s="39" t="s">
        <v>1442</v>
      </c>
      <c r="EN137" s="39" t="s">
        <v>1142</v>
      </c>
      <c r="EO137" s="39" t="s">
        <v>1442</v>
      </c>
      <c r="EP137" s="39">
        <v>84.2</v>
      </c>
      <c r="EQ137" s="39">
        <v>24</v>
      </c>
      <c r="ES137" s="39">
        <v>4</v>
      </c>
      <c r="EV137" s="39">
        <v>2</v>
      </c>
    </row>
    <row r="138" spans="2:152" x14ac:dyDescent="0.25">
      <c r="C138">
        <v>502343</v>
      </c>
      <c r="D138" t="s">
        <v>1439</v>
      </c>
      <c r="X138" s="39">
        <v>96</v>
      </c>
      <c r="Y138" s="39">
        <v>101</v>
      </c>
      <c r="Z138" s="39">
        <v>1.25</v>
      </c>
      <c r="ED138"/>
    </row>
    <row r="139" spans="2:152" x14ac:dyDescent="0.25">
      <c r="C139">
        <v>502343</v>
      </c>
      <c r="D139" t="s">
        <v>1443</v>
      </c>
      <c r="X139" s="39">
        <v>24</v>
      </c>
      <c r="Y139" s="39">
        <v>88</v>
      </c>
      <c r="Z139" s="39">
        <v>1.25</v>
      </c>
      <c r="ED139"/>
    </row>
    <row r="140" spans="2:152" x14ac:dyDescent="0.25">
      <c r="C140">
        <v>502343</v>
      </c>
      <c r="D140" t="s">
        <v>1444</v>
      </c>
      <c r="X140" s="39">
        <v>52</v>
      </c>
      <c r="Y140" s="39">
        <v>20</v>
      </c>
      <c r="Z140" s="39">
        <v>1.25</v>
      </c>
      <c r="ED140"/>
    </row>
    <row r="141" spans="2:152" x14ac:dyDescent="0.25">
      <c r="C141">
        <v>502343</v>
      </c>
      <c r="D141" t="s">
        <v>1445</v>
      </c>
      <c r="X141" s="39">
        <v>24</v>
      </c>
      <c r="Y141" s="39">
        <v>84.2</v>
      </c>
      <c r="Z141" s="39">
        <v>1.25</v>
      </c>
      <c r="ED141"/>
    </row>
    <row r="144" spans="2:152" x14ac:dyDescent="0.25">
      <c r="C144">
        <v>502344</v>
      </c>
      <c r="D144" s="39" t="s">
        <v>1132</v>
      </c>
    </row>
    <row r="145" spans="2:152" x14ac:dyDescent="0.25">
      <c r="C145">
        <v>502344</v>
      </c>
      <c r="D145" s="39" t="s">
        <v>154</v>
      </c>
      <c r="T145" s="112" t="s">
        <v>1140</v>
      </c>
      <c r="U145" s="112" t="s">
        <v>1140</v>
      </c>
      <c r="V145" s="112" t="s">
        <v>1120</v>
      </c>
    </row>
    <row r="146" spans="2:152" x14ac:dyDescent="0.25">
      <c r="C146">
        <v>502344</v>
      </c>
      <c r="D146" s="118" t="s">
        <v>1141</v>
      </c>
      <c r="G146" s="112" t="s">
        <v>1436</v>
      </c>
      <c r="I146" s="112" t="s">
        <v>1436</v>
      </c>
      <c r="U146" s="112" t="s">
        <v>1436</v>
      </c>
      <c r="AF146" s="112" t="s">
        <v>1436</v>
      </c>
      <c r="AG146" s="112" t="s">
        <v>1436</v>
      </c>
      <c r="AL146" s="112">
        <v>0</v>
      </c>
      <c r="AM146" s="112">
        <v>1</v>
      </c>
      <c r="AN146" s="39">
        <v>520</v>
      </c>
      <c r="AO146" s="39">
        <v>298</v>
      </c>
      <c r="AQ146" s="112" t="s">
        <v>1436</v>
      </c>
    </row>
    <row r="147" spans="2:152" x14ac:dyDescent="0.25">
      <c r="C147">
        <v>502344</v>
      </c>
      <c r="D147" s="118" t="s">
        <v>1142</v>
      </c>
      <c r="G147" s="112" t="s">
        <v>1437</v>
      </c>
      <c r="I147" s="112" t="s">
        <v>1437</v>
      </c>
      <c r="U147" s="112" t="s">
        <v>1437</v>
      </c>
      <c r="AF147" s="112" t="s">
        <v>1437</v>
      </c>
      <c r="AG147" s="112" t="s">
        <v>1437</v>
      </c>
      <c r="AL147" s="112">
        <v>0</v>
      </c>
      <c r="AM147" s="112">
        <v>1</v>
      </c>
      <c r="AN147" s="39">
        <v>520</v>
      </c>
      <c r="AO147" s="39">
        <v>298</v>
      </c>
      <c r="AQ147" s="112" t="s">
        <v>1437</v>
      </c>
    </row>
    <row r="148" spans="2:152" x14ac:dyDescent="0.25">
      <c r="B148" s="119"/>
      <c r="C148"/>
      <c r="D148" s="120" t="s">
        <v>1432</v>
      </c>
      <c r="G148" s="39" t="s">
        <v>1433</v>
      </c>
      <c r="I148" s="112" t="s">
        <v>1434</v>
      </c>
      <c r="U148" s="112" t="s">
        <v>1434</v>
      </c>
      <c r="AF148" s="112" t="s">
        <v>1434</v>
      </c>
      <c r="AG148" s="112" t="s">
        <v>1434</v>
      </c>
      <c r="AI148" s="112" t="s">
        <v>1435</v>
      </c>
      <c r="AJ148" s="112" t="s">
        <v>1434</v>
      </c>
      <c r="AL148" s="112">
        <v>1</v>
      </c>
      <c r="AM148" s="112">
        <v>0</v>
      </c>
      <c r="AN148" s="39">
        <v>238</v>
      </c>
      <c r="AP148" s="112"/>
      <c r="AQ148" s="39" t="s">
        <v>1433</v>
      </c>
    </row>
    <row r="149" spans="2:152" x14ac:dyDescent="0.25">
      <c r="C149">
        <v>502344</v>
      </c>
      <c r="D149" s="39" t="s">
        <v>1438</v>
      </c>
      <c r="EN149" s="39" t="s">
        <v>1142</v>
      </c>
      <c r="EO149" s="39" t="s">
        <v>1438</v>
      </c>
      <c r="EP149" s="39">
        <v>101</v>
      </c>
      <c r="EQ149" s="39">
        <v>96</v>
      </c>
      <c r="ES149" s="39">
        <v>4</v>
      </c>
      <c r="EV149" s="39">
        <v>2</v>
      </c>
    </row>
    <row r="150" spans="2:152" x14ac:dyDescent="0.25">
      <c r="C150">
        <v>502344</v>
      </c>
      <c r="D150" t="s">
        <v>1439</v>
      </c>
      <c r="X150" s="39">
        <v>96</v>
      </c>
      <c r="Y150" s="39">
        <v>101</v>
      </c>
      <c r="Z150" s="39">
        <v>1.25</v>
      </c>
      <c r="ED150"/>
    </row>
    <row r="153" spans="2:152" x14ac:dyDescent="0.25">
      <c r="C153">
        <v>502345</v>
      </c>
      <c r="D153" s="39" t="s">
        <v>1132</v>
      </c>
    </row>
    <row r="154" spans="2:152" x14ac:dyDescent="0.25">
      <c r="C154">
        <v>502345</v>
      </c>
      <c r="D154" s="39" t="s">
        <v>154</v>
      </c>
      <c r="T154" s="112" t="s">
        <v>1140</v>
      </c>
      <c r="U154" s="112" t="s">
        <v>1140</v>
      </c>
      <c r="V154" s="112" t="s">
        <v>1120</v>
      </c>
    </row>
    <row r="155" spans="2:152" x14ac:dyDescent="0.25">
      <c r="C155">
        <v>502345</v>
      </c>
      <c r="D155" s="118" t="s">
        <v>1141</v>
      </c>
      <c r="G155" s="112" t="s">
        <v>1436</v>
      </c>
      <c r="I155" s="112" t="s">
        <v>1436</v>
      </c>
      <c r="U155" s="112" t="s">
        <v>1436</v>
      </c>
      <c r="AF155" s="112" t="s">
        <v>1436</v>
      </c>
      <c r="AG155" s="112" t="s">
        <v>1436</v>
      </c>
      <c r="AL155" s="112">
        <v>0</v>
      </c>
      <c r="AM155" s="112">
        <v>1</v>
      </c>
      <c r="AN155" s="39">
        <v>520</v>
      </c>
      <c r="AO155" s="39">
        <v>398</v>
      </c>
      <c r="AQ155" s="112" t="s">
        <v>1436</v>
      </c>
    </row>
    <row r="156" spans="2:152" x14ac:dyDescent="0.25">
      <c r="C156">
        <v>502345</v>
      </c>
      <c r="D156" s="118" t="s">
        <v>1142</v>
      </c>
      <c r="G156" s="112" t="s">
        <v>1437</v>
      </c>
      <c r="I156" s="112" t="s">
        <v>1437</v>
      </c>
      <c r="U156" s="112" t="s">
        <v>1437</v>
      </c>
      <c r="AF156" s="112" t="s">
        <v>1437</v>
      </c>
      <c r="AG156" s="112" t="s">
        <v>1437</v>
      </c>
      <c r="AL156" s="112">
        <v>0</v>
      </c>
      <c r="AM156" s="112">
        <v>1</v>
      </c>
      <c r="AN156" s="39">
        <v>520</v>
      </c>
      <c r="AO156" s="39">
        <v>398</v>
      </c>
      <c r="AQ156" s="112" t="s">
        <v>1437</v>
      </c>
    </row>
    <row r="157" spans="2:152" x14ac:dyDescent="0.25">
      <c r="B157" s="119"/>
      <c r="C157"/>
      <c r="D157" s="120" t="s">
        <v>1432</v>
      </c>
      <c r="G157" s="39" t="s">
        <v>1433</v>
      </c>
      <c r="I157" s="112" t="s">
        <v>1434</v>
      </c>
      <c r="U157" s="112" t="s">
        <v>1434</v>
      </c>
      <c r="AF157" s="112" t="s">
        <v>1434</v>
      </c>
      <c r="AG157" s="112" t="s">
        <v>1434</v>
      </c>
      <c r="AI157" s="112" t="s">
        <v>1435</v>
      </c>
      <c r="AJ157" s="112" t="s">
        <v>1434</v>
      </c>
      <c r="AL157" s="112">
        <v>1</v>
      </c>
      <c r="AM157" s="112">
        <v>0</v>
      </c>
      <c r="AN157" s="39">
        <v>238</v>
      </c>
      <c r="AP157" s="112"/>
      <c r="AQ157" s="39" t="s">
        <v>1433</v>
      </c>
    </row>
    <row r="158" spans="2:152" x14ac:dyDescent="0.25">
      <c r="C158">
        <v>502345</v>
      </c>
      <c r="D158" s="39" t="s">
        <v>1438</v>
      </c>
      <c r="EN158" s="39" t="s">
        <v>1142</v>
      </c>
      <c r="EO158" s="39" t="s">
        <v>1438</v>
      </c>
      <c r="EP158" s="39">
        <v>101</v>
      </c>
      <c r="EQ158" s="39">
        <v>96</v>
      </c>
      <c r="ES158" s="39">
        <v>4</v>
      </c>
      <c r="EV158" s="39">
        <v>2</v>
      </c>
    </row>
    <row r="159" spans="2:152" x14ac:dyDescent="0.25">
      <c r="C159">
        <v>502345</v>
      </c>
      <c r="D159" s="39" t="s">
        <v>1440</v>
      </c>
      <c r="EN159" s="39" t="s">
        <v>1142</v>
      </c>
      <c r="EO159" s="39" t="s">
        <v>1440</v>
      </c>
      <c r="EP159" s="39">
        <v>88</v>
      </c>
      <c r="EQ159" s="39">
        <v>24</v>
      </c>
      <c r="ES159" s="39">
        <v>4</v>
      </c>
      <c r="EV159" s="39">
        <v>2</v>
      </c>
    </row>
    <row r="160" spans="2:152" x14ac:dyDescent="0.25">
      <c r="C160">
        <v>502345</v>
      </c>
      <c r="D160" s="39" t="s">
        <v>1441</v>
      </c>
      <c r="EN160" s="39" t="s">
        <v>1142</v>
      </c>
      <c r="EO160" s="39" t="s">
        <v>1441</v>
      </c>
      <c r="EP160" s="39">
        <v>20</v>
      </c>
      <c r="EQ160" s="39">
        <v>52</v>
      </c>
      <c r="ES160" s="39">
        <v>4</v>
      </c>
      <c r="EV160" s="39">
        <v>2</v>
      </c>
    </row>
    <row r="161" spans="2:152" x14ac:dyDescent="0.25">
      <c r="C161">
        <v>502345</v>
      </c>
      <c r="D161" s="39" t="s">
        <v>1442</v>
      </c>
      <c r="EN161" s="39" t="s">
        <v>1142</v>
      </c>
      <c r="EO161" s="39" t="s">
        <v>1442</v>
      </c>
      <c r="EP161" s="39">
        <v>84.2</v>
      </c>
      <c r="EQ161" s="39">
        <v>24</v>
      </c>
      <c r="ES161" s="39">
        <v>4</v>
      </c>
      <c r="EV161" s="39">
        <v>2</v>
      </c>
    </row>
    <row r="162" spans="2:152" x14ac:dyDescent="0.25">
      <c r="C162">
        <v>502345</v>
      </c>
      <c r="D162" t="s">
        <v>1439</v>
      </c>
      <c r="X162" s="39">
        <v>96</v>
      </c>
      <c r="Y162" s="39">
        <v>101</v>
      </c>
      <c r="Z162" s="39">
        <v>1.25</v>
      </c>
      <c r="ED162"/>
    </row>
    <row r="163" spans="2:152" x14ac:dyDescent="0.25">
      <c r="C163">
        <v>502345</v>
      </c>
      <c r="D163" t="s">
        <v>1443</v>
      </c>
      <c r="X163" s="39">
        <v>24</v>
      </c>
      <c r="Y163" s="39">
        <v>88</v>
      </c>
      <c r="Z163" s="39">
        <v>1.25</v>
      </c>
      <c r="ED163"/>
    </row>
    <row r="164" spans="2:152" x14ac:dyDescent="0.25">
      <c r="C164">
        <v>502345</v>
      </c>
      <c r="D164" t="s">
        <v>1444</v>
      </c>
      <c r="X164" s="39">
        <v>52</v>
      </c>
      <c r="Y164" s="39">
        <v>20</v>
      </c>
      <c r="Z164" s="39">
        <v>1.25</v>
      </c>
      <c r="ED164"/>
    </row>
    <row r="165" spans="2:152" x14ac:dyDescent="0.25">
      <c r="C165">
        <v>502345</v>
      </c>
      <c r="D165" t="s">
        <v>1445</v>
      </c>
      <c r="X165" s="39">
        <v>24</v>
      </c>
      <c r="Y165" s="39">
        <v>84.2</v>
      </c>
      <c r="Z165" s="39">
        <v>1.25</v>
      </c>
      <c r="ED165"/>
    </row>
    <row r="168" spans="2:152" x14ac:dyDescent="0.25">
      <c r="C168">
        <v>502346</v>
      </c>
      <c r="D168" s="39" t="s">
        <v>1132</v>
      </c>
    </row>
    <row r="169" spans="2:152" x14ac:dyDescent="0.25">
      <c r="C169">
        <v>502346</v>
      </c>
      <c r="D169" s="39" t="s">
        <v>154</v>
      </c>
      <c r="T169" s="112" t="s">
        <v>1140</v>
      </c>
      <c r="U169" s="112" t="s">
        <v>1140</v>
      </c>
      <c r="V169" s="112" t="s">
        <v>1120</v>
      </c>
    </row>
    <row r="170" spans="2:152" x14ac:dyDescent="0.25">
      <c r="C170"/>
      <c r="D170" s="118" t="s">
        <v>1141</v>
      </c>
      <c r="G170" s="112" t="s">
        <v>1436</v>
      </c>
      <c r="I170" s="112" t="s">
        <v>1436</v>
      </c>
      <c r="U170" s="112" t="s">
        <v>1436</v>
      </c>
      <c r="AF170" s="112" t="s">
        <v>1436</v>
      </c>
      <c r="AG170" s="112" t="s">
        <v>1436</v>
      </c>
      <c r="AL170" s="112">
        <v>0</v>
      </c>
      <c r="AM170" s="112">
        <v>1</v>
      </c>
      <c r="AN170" s="39">
        <v>520</v>
      </c>
      <c r="AO170" s="39">
        <v>298</v>
      </c>
      <c r="AQ170" s="112" t="s">
        <v>1436</v>
      </c>
    </row>
    <row r="171" spans="2:152" x14ac:dyDescent="0.25">
      <c r="C171"/>
      <c r="D171" s="118" t="s">
        <v>1142</v>
      </c>
      <c r="G171" s="112" t="s">
        <v>1437</v>
      </c>
      <c r="I171" s="112" t="s">
        <v>1437</v>
      </c>
      <c r="U171" s="112" t="s">
        <v>1437</v>
      </c>
      <c r="AF171" s="112" t="s">
        <v>1437</v>
      </c>
      <c r="AG171" s="112" t="s">
        <v>1437</v>
      </c>
      <c r="AL171" s="112">
        <v>0</v>
      </c>
      <c r="AM171" s="112">
        <v>1</v>
      </c>
      <c r="AN171" s="39">
        <v>520</v>
      </c>
      <c r="AO171" s="39">
        <v>298</v>
      </c>
      <c r="AQ171" s="112" t="s">
        <v>1437</v>
      </c>
    </row>
    <row r="172" spans="2:152" x14ac:dyDescent="0.25">
      <c r="B172" s="119"/>
      <c r="C172"/>
      <c r="D172" s="120" t="s">
        <v>1432</v>
      </c>
      <c r="G172" s="39" t="s">
        <v>1433</v>
      </c>
      <c r="I172" s="112" t="s">
        <v>1434</v>
      </c>
      <c r="U172" s="112" t="s">
        <v>1434</v>
      </c>
      <c r="AF172" s="112" t="s">
        <v>1434</v>
      </c>
      <c r="AG172" s="112" t="s">
        <v>1434</v>
      </c>
      <c r="AI172" s="112" t="s">
        <v>1435</v>
      </c>
      <c r="AJ172" s="112" t="s">
        <v>1434</v>
      </c>
      <c r="AL172" s="112">
        <v>1</v>
      </c>
      <c r="AM172" s="112">
        <v>0</v>
      </c>
      <c r="AN172" s="39">
        <v>238</v>
      </c>
      <c r="AP172" s="112"/>
      <c r="AQ172" s="39" t="s">
        <v>1433</v>
      </c>
    </row>
    <row r="175" spans="2:152" x14ac:dyDescent="0.25">
      <c r="C175">
        <v>502347</v>
      </c>
      <c r="D175" s="39" t="s">
        <v>1132</v>
      </c>
    </row>
    <row r="176" spans="2:152" x14ac:dyDescent="0.25">
      <c r="C176">
        <v>502347</v>
      </c>
      <c r="D176" s="39" t="s">
        <v>154</v>
      </c>
      <c r="T176" s="112" t="s">
        <v>1140</v>
      </c>
      <c r="U176" s="112" t="s">
        <v>1140</v>
      </c>
      <c r="V176" s="112" t="s">
        <v>1120</v>
      </c>
    </row>
    <row r="177" spans="2:152" x14ac:dyDescent="0.25">
      <c r="C177">
        <v>502347</v>
      </c>
      <c r="D177" s="118" t="s">
        <v>1141</v>
      </c>
      <c r="G177" s="112" t="s">
        <v>1436</v>
      </c>
      <c r="I177" s="112" t="s">
        <v>1436</v>
      </c>
      <c r="U177" s="112" t="s">
        <v>1436</v>
      </c>
      <c r="AF177" s="112" t="s">
        <v>1436</v>
      </c>
      <c r="AG177" s="112" t="s">
        <v>1436</v>
      </c>
      <c r="AL177" s="112">
        <v>0</v>
      </c>
      <c r="AM177" s="112">
        <v>1</v>
      </c>
      <c r="AN177" s="39">
        <v>720</v>
      </c>
      <c r="AO177" s="39">
        <v>298</v>
      </c>
      <c r="AQ177" s="112" t="s">
        <v>1436</v>
      </c>
    </row>
    <row r="178" spans="2:152" x14ac:dyDescent="0.25">
      <c r="C178">
        <v>502347</v>
      </c>
      <c r="D178" s="118" t="s">
        <v>1142</v>
      </c>
      <c r="G178" s="112" t="s">
        <v>1437</v>
      </c>
      <c r="I178" s="112" t="s">
        <v>1437</v>
      </c>
      <c r="U178" s="112" t="s">
        <v>1437</v>
      </c>
      <c r="AF178" s="112" t="s">
        <v>1437</v>
      </c>
      <c r="AG178" s="112" t="s">
        <v>1437</v>
      </c>
      <c r="AL178" s="112">
        <v>0</v>
      </c>
      <c r="AM178" s="112">
        <v>1</v>
      </c>
      <c r="AN178" s="39">
        <v>720</v>
      </c>
      <c r="AO178" s="39">
        <v>298</v>
      </c>
      <c r="AQ178" s="112" t="s">
        <v>1437</v>
      </c>
    </row>
    <row r="179" spans="2:152" x14ac:dyDescent="0.25">
      <c r="B179" s="119"/>
      <c r="C179"/>
      <c r="D179" s="120" t="s">
        <v>1432</v>
      </c>
      <c r="G179" s="39" t="s">
        <v>1433</v>
      </c>
      <c r="I179" s="112" t="s">
        <v>1434</v>
      </c>
      <c r="U179" s="112" t="s">
        <v>1434</v>
      </c>
      <c r="AF179" s="112" t="s">
        <v>1434</v>
      </c>
      <c r="AG179" s="112" t="s">
        <v>1434</v>
      </c>
      <c r="AI179" s="112" t="s">
        <v>1435</v>
      </c>
      <c r="AJ179" s="112" t="s">
        <v>1434</v>
      </c>
      <c r="AL179" s="112">
        <v>1</v>
      </c>
      <c r="AM179" s="112">
        <v>0</v>
      </c>
      <c r="AN179" s="39">
        <v>238</v>
      </c>
      <c r="AP179" s="112"/>
      <c r="AQ179" s="39" t="s">
        <v>1433</v>
      </c>
    </row>
    <row r="180" spans="2:152" x14ac:dyDescent="0.25">
      <c r="C180">
        <v>502347</v>
      </c>
      <c r="D180" s="39" t="s">
        <v>1438</v>
      </c>
      <c r="EN180" s="39" t="s">
        <v>1142</v>
      </c>
      <c r="EO180" s="39" t="s">
        <v>1438</v>
      </c>
      <c r="EP180" s="39">
        <v>101</v>
      </c>
      <c r="EQ180" s="39">
        <v>96</v>
      </c>
      <c r="ES180" s="39">
        <v>4</v>
      </c>
      <c r="EV180" s="39">
        <v>2</v>
      </c>
    </row>
    <row r="181" spans="2:152" x14ac:dyDescent="0.25">
      <c r="C181">
        <v>502347</v>
      </c>
      <c r="D181" t="s">
        <v>1439</v>
      </c>
      <c r="X181" s="39">
        <v>96</v>
      </c>
      <c r="Y181" s="39">
        <v>101</v>
      </c>
      <c r="Z181" s="39">
        <v>1.25</v>
      </c>
      <c r="ED181"/>
    </row>
    <row r="184" spans="2:152" x14ac:dyDescent="0.25">
      <c r="C184">
        <v>502348</v>
      </c>
      <c r="D184" s="39" t="s">
        <v>1132</v>
      </c>
    </row>
    <row r="185" spans="2:152" x14ac:dyDescent="0.25">
      <c r="C185">
        <v>502348</v>
      </c>
      <c r="D185" s="39" t="s">
        <v>154</v>
      </c>
      <c r="T185" s="112" t="s">
        <v>1140</v>
      </c>
      <c r="U185" s="112" t="s">
        <v>1140</v>
      </c>
      <c r="V185" s="112" t="s">
        <v>1120</v>
      </c>
    </row>
    <row r="186" spans="2:152" x14ac:dyDescent="0.25">
      <c r="C186">
        <v>502348</v>
      </c>
      <c r="D186" s="118" t="s">
        <v>1141</v>
      </c>
      <c r="G186" s="112" t="s">
        <v>1436</v>
      </c>
      <c r="I186" s="112" t="s">
        <v>1436</v>
      </c>
      <c r="U186" s="112" t="s">
        <v>1436</v>
      </c>
      <c r="AF186" s="112" t="s">
        <v>1436</v>
      </c>
      <c r="AG186" s="112" t="s">
        <v>1436</v>
      </c>
      <c r="AL186" s="112">
        <v>0</v>
      </c>
      <c r="AM186" s="112">
        <v>1</v>
      </c>
      <c r="AN186" s="39">
        <v>720</v>
      </c>
      <c r="AO186" s="39">
        <v>398</v>
      </c>
      <c r="AQ186" s="112" t="s">
        <v>1436</v>
      </c>
    </row>
    <row r="187" spans="2:152" x14ac:dyDescent="0.25">
      <c r="C187">
        <v>502348</v>
      </c>
      <c r="D187" s="118" t="s">
        <v>1142</v>
      </c>
      <c r="G187" s="112" t="s">
        <v>1437</v>
      </c>
      <c r="I187" s="112" t="s">
        <v>1437</v>
      </c>
      <c r="U187" s="112" t="s">
        <v>1437</v>
      </c>
      <c r="AF187" s="112" t="s">
        <v>1437</v>
      </c>
      <c r="AG187" s="112" t="s">
        <v>1437</v>
      </c>
      <c r="AL187" s="112">
        <v>0</v>
      </c>
      <c r="AM187" s="112">
        <v>1</v>
      </c>
      <c r="AN187" s="39">
        <v>720</v>
      </c>
      <c r="AO187" s="39">
        <v>398</v>
      </c>
      <c r="AQ187" s="112" t="s">
        <v>1437</v>
      </c>
    </row>
    <row r="188" spans="2:152" x14ac:dyDescent="0.25">
      <c r="B188" s="119"/>
      <c r="C188"/>
      <c r="D188" s="120" t="s">
        <v>1432</v>
      </c>
      <c r="G188" s="39" t="s">
        <v>1433</v>
      </c>
      <c r="I188" s="112" t="s">
        <v>1434</v>
      </c>
      <c r="U188" s="112" t="s">
        <v>1434</v>
      </c>
      <c r="AF188" s="112" t="s">
        <v>1434</v>
      </c>
      <c r="AG188" s="112" t="s">
        <v>1434</v>
      </c>
      <c r="AI188" s="112" t="s">
        <v>1435</v>
      </c>
      <c r="AJ188" s="112" t="s">
        <v>1434</v>
      </c>
      <c r="AL188" s="112">
        <v>1</v>
      </c>
      <c r="AM188" s="112">
        <v>0</v>
      </c>
      <c r="AN188" s="39">
        <v>238</v>
      </c>
      <c r="AP188" s="112"/>
      <c r="AQ188" s="39" t="s">
        <v>1433</v>
      </c>
    </row>
    <row r="189" spans="2:152" x14ac:dyDescent="0.25">
      <c r="C189">
        <v>502348</v>
      </c>
      <c r="D189" s="39" t="s">
        <v>1438</v>
      </c>
      <c r="EN189" s="39" t="s">
        <v>1142</v>
      </c>
      <c r="EO189" s="39" t="s">
        <v>1438</v>
      </c>
      <c r="EP189" s="39">
        <v>101</v>
      </c>
      <c r="EQ189" s="39">
        <v>96</v>
      </c>
      <c r="ES189" s="39">
        <v>4</v>
      </c>
      <c r="EV189" s="39">
        <v>2</v>
      </c>
    </row>
    <row r="190" spans="2:152" x14ac:dyDescent="0.25">
      <c r="C190">
        <v>502348</v>
      </c>
      <c r="D190" s="39" t="s">
        <v>1440</v>
      </c>
      <c r="EN190" s="39" t="s">
        <v>1142</v>
      </c>
      <c r="EO190" s="39" t="s">
        <v>1440</v>
      </c>
      <c r="EP190" s="39">
        <v>88</v>
      </c>
      <c r="EQ190" s="39">
        <v>24</v>
      </c>
      <c r="ES190" s="39">
        <v>4</v>
      </c>
      <c r="EV190" s="39">
        <v>2</v>
      </c>
    </row>
    <row r="191" spans="2:152" x14ac:dyDescent="0.25">
      <c r="C191">
        <v>502348</v>
      </c>
      <c r="D191" s="39" t="s">
        <v>1441</v>
      </c>
      <c r="EN191" s="39" t="s">
        <v>1142</v>
      </c>
      <c r="EO191" s="39" t="s">
        <v>1441</v>
      </c>
      <c r="EP191" s="39">
        <v>20</v>
      </c>
      <c r="EQ191" s="39">
        <v>52</v>
      </c>
      <c r="ES191" s="39">
        <v>4</v>
      </c>
      <c r="EV191" s="39">
        <v>2</v>
      </c>
    </row>
    <row r="192" spans="2:152" x14ac:dyDescent="0.25">
      <c r="C192">
        <v>502348</v>
      </c>
      <c r="D192" s="39" t="s">
        <v>1442</v>
      </c>
      <c r="EN192" s="39" t="s">
        <v>1142</v>
      </c>
      <c r="EO192" s="39" t="s">
        <v>1442</v>
      </c>
      <c r="EP192" s="39">
        <v>84.2</v>
      </c>
      <c r="EQ192" s="39">
        <v>24</v>
      </c>
      <c r="ES192" s="39">
        <v>4</v>
      </c>
      <c r="EV192" s="39">
        <v>2</v>
      </c>
    </row>
    <row r="193" spans="2:134" x14ac:dyDescent="0.25">
      <c r="C193">
        <v>502348</v>
      </c>
      <c r="D193" t="s">
        <v>1439</v>
      </c>
      <c r="X193" s="39">
        <v>96</v>
      </c>
      <c r="Y193" s="39">
        <v>101</v>
      </c>
      <c r="Z193" s="39">
        <v>1.25</v>
      </c>
      <c r="ED193"/>
    </row>
    <row r="194" spans="2:134" x14ac:dyDescent="0.25">
      <c r="C194">
        <v>502348</v>
      </c>
      <c r="D194" t="s">
        <v>1443</v>
      </c>
      <c r="X194" s="39">
        <v>24</v>
      </c>
      <c r="Y194" s="39">
        <v>88</v>
      </c>
      <c r="Z194" s="39">
        <v>1.25</v>
      </c>
      <c r="ED194"/>
    </row>
    <row r="195" spans="2:134" x14ac:dyDescent="0.25">
      <c r="C195">
        <v>502348</v>
      </c>
      <c r="D195" t="s">
        <v>1444</v>
      </c>
      <c r="X195" s="39">
        <v>52</v>
      </c>
      <c r="Y195" s="39">
        <v>20</v>
      </c>
      <c r="Z195" s="39">
        <v>1.25</v>
      </c>
      <c r="ED195"/>
    </row>
    <row r="196" spans="2:134" x14ac:dyDescent="0.25">
      <c r="C196">
        <v>502348</v>
      </c>
      <c r="D196" t="s">
        <v>1445</v>
      </c>
      <c r="X196" s="39">
        <v>24</v>
      </c>
      <c r="Y196" s="39">
        <v>84.2</v>
      </c>
      <c r="Z196" s="39">
        <v>1.25</v>
      </c>
      <c r="ED196"/>
    </row>
    <row r="199" spans="2:134" x14ac:dyDescent="0.25">
      <c r="C199">
        <v>502349</v>
      </c>
      <c r="D199" s="39" t="s">
        <v>1132</v>
      </c>
    </row>
    <row r="200" spans="2:134" x14ac:dyDescent="0.25">
      <c r="C200">
        <v>502349</v>
      </c>
      <c r="D200" s="39" t="s">
        <v>154</v>
      </c>
      <c r="T200" s="112" t="s">
        <v>1140</v>
      </c>
      <c r="U200" s="112" t="s">
        <v>1140</v>
      </c>
      <c r="V200" s="112" t="s">
        <v>1120</v>
      </c>
    </row>
    <row r="201" spans="2:134" x14ac:dyDescent="0.25">
      <c r="C201"/>
      <c r="D201" s="118" t="s">
        <v>1141</v>
      </c>
      <c r="G201" s="112" t="s">
        <v>1436</v>
      </c>
      <c r="I201" s="112" t="s">
        <v>1436</v>
      </c>
      <c r="U201" s="112" t="s">
        <v>1436</v>
      </c>
      <c r="AF201" s="112" t="s">
        <v>1436</v>
      </c>
      <c r="AG201" s="112" t="s">
        <v>1436</v>
      </c>
      <c r="AL201" s="112">
        <v>0</v>
      </c>
      <c r="AM201" s="112">
        <v>1</v>
      </c>
      <c r="AN201" s="39">
        <v>720</v>
      </c>
      <c r="AO201" s="39">
        <v>298</v>
      </c>
      <c r="AQ201" s="112" t="s">
        <v>1436</v>
      </c>
    </row>
    <row r="202" spans="2:134" x14ac:dyDescent="0.25">
      <c r="C202"/>
      <c r="D202" s="118" t="s">
        <v>1142</v>
      </c>
      <c r="G202" s="112" t="s">
        <v>1437</v>
      </c>
      <c r="I202" s="112" t="s">
        <v>1437</v>
      </c>
      <c r="U202" s="112" t="s">
        <v>1437</v>
      </c>
      <c r="AF202" s="112" t="s">
        <v>1437</v>
      </c>
      <c r="AG202" s="112" t="s">
        <v>1437</v>
      </c>
      <c r="AL202" s="112">
        <v>0</v>
      </c>
      <c r="AM202" s="112">
        <v>1</v>
      </c>
      <c r="AN202" s="39">
        <v>720</v>
      </c>
      <c r="AO202" s="39">
        <v>298</v>
      </c>
      <c r="AQ202" s="112" t="s">
        <v>1437</v>
      </c>
    </row>
    <row r="203" spans="2:134" x14ac:dyDescent="0.25">
      <c r="B203" s="119"/>
      <c r="C203"/>
      <c r="D203" s="120" t="s">
        <v>1432</v>
      </c>
      <c r="G203" s="39" t="s">
        <v>1433</v>
      </c>
      <c r="I203" s="112" t="s">
        <v>1434</v>
      </c>
      <c r="U203" s="112" t="s">
        <v>1434</v>
      </c>
      <c r="AF203" s="112" t="s">
        <v>1434</v>
      </c>
      <c r="AG203" s="112" t="s">
        <v>1434</v>
      </c>
      <c r="AI203" s="112" t="s">
        <v>1435</v>
      </c>
      <c r="AJ203" s="112" t="s">
        <v>1434</v>
      </c>
      <c r="AL203" s="112">
        <v>1</v>
      </c>
      <c r="AM203" s="112">
        <v>0</v>
      </c>
      <c r="AN203" s="39">
        <v>238</v>
      </c>
      <c r="AP203" s="112"/>
      <c r="AQ203" s="39" t="s">
        <v>1433</v>
      </c>
    </row>
    <row r="206" spans="2:134" x14ac:dyDescent="0.25">
      <c r="C206">
        <v>502350</v>
      </c>
      <c r="D206" s="39" t="s">
        <v>1132</v>
      </c>
    </row>
    <row r="207" spans="2:134" x14ac:dyDescent="0.25">
      <c r="C207">
        <v>502350</v>
      </c>
      <c r="D207" s="39" t="s">
        <v>154</v>
      </c>
      <c r="T207" s="112" t="s">
        <v>1140</v>
      </c>
      <c r="U207" s="112" t="s">
        <v>1140</v>
      </c>
      <c r="V207" s="112" t="s">
        <v>1120</v>
      </c>
    </row>
    <row r="208" spans="2:134" x14ac:dyDescent="0.25">
      <c r="C208">
        <v>502350</v>
      </c>
      <c r="D208" s="118" t="s">
        <v>1141</v>
      </c>
      <c r="G208" s="112" t="s">
        <v>1436</v>
      </c>
      <c r="I208" s="112" t="s">
        <v>1436</v>
      </c>
      <c r="U208" s="112" t="s">
        <v>1436</v>
      </c>
      <c r="AF208" s="112" t="s">
        <v>1436</v>
      </c>
      <c r="AG208" s="112" t="s">
        <v>1436</v>
      </c>
      <c r="AL208" s="112">
        <v>0</v>
      </c>
      <c r="AM208" s="112">
        <v>1</v>
      </c>
      <c r="AN208" s="39">
        <v>520</v>
      </c>
      <c r="AO208" s="39">
        <v>398</v>
      </c>
      <c r="AQ208" s="112" t="s">
        <v>1436</v>
      </c>
    </row>
    <row r="209" spans="2:152" x14ac:dyDescent="0.25">
      <c r="C209">
        <v>502350</v>
      </c>
      <c r="D209" s="118" t="s">
        <v>1142</v>
      </c>
      <c r="G209" s="112" t="s">
        <v>1437</v>
      </c>
      <c r="I209" s="112" t="s">
        <v>1437</v>
      </c>
      <c r="U209" s="112" t="s">
        <v>1437</v>
      </c>
      <c r="AF209" s="112" t="s">
        <v>1437</v>
      </c>
      <c r="AG209" s="112" t="s">
        <v>1437</v>
      </c>
      <c r="AL209" s="112">
        <v>0</v>
      </c>
      <c r="AM209" s="112">
        <v>1</v>
      </c>
      <c r="AN209" s="39">
        <v>520</v>
      </c>
      <c r="AO209" s="39">
        <v>398</v>
      </c>
      <c r="AQ209" s="112" t="s">
        <v>1437</v>
      </c>
    </row>
    <row r="210" spans="2:152" x14ac:dyDescent="0.25">
      <c r="B210" s="119"/>
      <c r="C210"/>
      <c r="D210" s="120" t="s">
        <v>1432</v>
      </c>
      <c r="G210" s="39" t="s">
        <v>1433</v>
      </c>
      <c r="I210" s="112" t="s">
        <v>1434</v>
      </c>
      <c r="U210" s="112" t="s">
        <v>1434</v>
      </c>
      <c r="AF210" s="112" t="s">
        <v>1434</v>
      </c>
      <c r="AG210" s="112" t="s">
        <v>1434</v>
      </c>
      <c r="AI210" s="112" t="s">
        <v>1435</v>
      </c>
      <c r="AJ210" s="112" t="s">
        <v>1434</v>
      </c>
      <c r="AL210" s="112">
        <v>1</v>
      </c>
      <c r="AM210" s="112">
        <v>0</v>
      </c>
      <c r="AN210" s="39">
        <v>238</v>
      </c>
      <c r="AP210" s="112"/>
      <c r="AQ210" s="39" t="s">
        <v>1433</v>
      </c>
    </row>
    <row r="211" spans="2:152" x14ac:dyDescent="0.25">
      <c r="C211">
        <v>502350</v>
      </c>
      <c r="D211" s="39" t="s">
        <v>1438</v>
      </c>
      <c r="EN211" s="39" t="s">
        <v>1142</v>
      </c>
      <c r="EO211" s="39" t="s">
        <v>1438</v>
      </c>
      <c r="EP211" s="39">
        <v>136</v>
      </c>
      <c r="EQ211" s="39">
        <v>96</v>
      </c>
      <c r="ES211" s="39">
        <v>4</v>
      </c>
      <c r="EV211" s="39">
        <v>2</v>
      </c>
    </row>
    <row r="212" spans="2:152" x14ac:dyDescent="0.25">
      <c r="C212">
        <v>502350</v>
      </c>
      <c r="D212" t="s">
        <v>1439</v>
      </c>
      <c r="X212" s="39">
        <v>96</v>
      </c>
      <c r="Y212" s="39">
        <v>136</v>
      </c>
      <c r="Z212" s="39">
        <v>1.25</v>
      </c>
      <c r="ED212"/>
    </row>
    <row r="215" spans="2:152" x14ac:dyDescent="0.25">
      <c r="C215">
        <v>502351</v>
      </c>
      <c r="D215" s="39" t="s">
        <v>1132</v>
      </c>
    </row>
    <row r="216" spans="2:152" x14ac:dyDescent="0.25">
      <c r="C216">
        <v>502351</v>
      </c>
      <c r="D216" s="39" t="s">
        <v>154</v>
      </c>
      <c r="T216" s="112" t="s">
        <v>1140</v>
      </c>
      <c r="U216" s="112" t="s">
        <v>1140</v>
      </c>
      <c r="V216" s="112" t="s">
        <v>1120</v>
      </c>
    </row>
    <row r="217" spans="2:152" x14ac:dyDescent="0.25">
      <c r="C217">
        <v>502351</v>
      </c>
      <c r="D217" s="118" t="s">
        <v>1141</v>
      </c>
      <c r="G217" s="112" t="s">
        <v>1436</v>
      </c>
      <c r="I217" s="112" t="s">
        <v>1436</v>
      </c>
      <c r="U217" s="112" t="s">
        <v>1436</v>
      </c>
      <c r="AF217" s="112" t="s">
        <v>1436</v>
      </c>
      <c r="AG217" s="112" t="s">
        <v>1436</v>
      </c>
      <c r="AL217" s="112">
        <v>0</v>
      </c>
      <c r="AM217" s="112">
        <v>1</v>
      </c>
      <c r="AN217" s="39">
        <v>720</v>
      </c>
      <c r="AO217" s="39">
        <v>398</v>
      </c>
      <c r="AQ217" s="112" t="s">
        <v>1436</v>
      </c>
    </row>
    <row r="218" spans="2:152" x14ac:dyDescent="0.25">
      <c r="C218">
        <v>502351</v>
      </c>
      <c r="D218" s="118" t="s">
        <v>1142</v>
      </c>
      <c r="G218" s="112" t="s">
        <v>1437</v>
      </c>
      <c r="I218" s="112" t="s">
        <v>1437</v>
      </c>
      <c r="U218" s="112" t="s">
        <v>1437</v>
      </c>
      <c r="AF218" s="112" t="s">
        <v>1437</v>
      </c>
      <c r="AG218" s="112" t="s">
        <v>1437</v>
      </c>
      <c r="AL218" s="112">
        <v>0</v>
      </c>
      <c r="AM218" s="112">
        <v>1</v>
      </c>
      <c r="AN218" s="39">
        <v>720</v>
      </c>
      <c r="AO218" s="39">
        <v>398</v>
      </c>
      <c r="AQ218" s="112" t="s">
        <v>1437</v>
      </c>
    </row>
    <row r="219" spans="2:152" x14ac:dyDescent="0.25">
      <c r="B219" s="119"/>
      <c r="C219"/>
      <c r="D219" s="120" t="s">
        <v>1432</v>
      </c>
      <c r="G219" s="39" t="s">
        <v>1433</v>
      </c>
      <c r="I219" s="112" t="s">
        <v>1434</v>
      </c>
      <c r="U219" s="112" t="s">
        <v>1434</v>
      </c>
      <c r="AF219" s="112" t="s">
        <v>1434</v>
      </c>
      <c r="AG219" s="112" t="s">
        <v>1434</v>
      </c>
      <c r="AI219" s="112" t="s">
        <v>1435</v>
      </c>
      <c r="AJ219" s="112" t="s">
        <v>1434</v>
      </c>
      <c r="AL219" s="112">
        <v>1</v>
      </c>
      <c r="AM219" s="112">
        <v>0</v>
      </c>
      <c r="AN219" s="39">
        <v>238</v>
      </c>
      <c r="AP219" s="112"/>
      <c r="AQ219" s="39" t="s">
        <v>1433</v>
      </c>
    </row>
    <row r="220" spans="2:152" x14ac:dyDescent="0.25">
      <c r="C220">
        <v>502351</v>
      </c>
      <c r="D220" s="39" t="s">
        <v>1438</v>
      </c>
      <c r="EN220" s="39" t="s">
        <v>1142</v>
      </c>
      <c r="EO220" s="39" t="s">
        <v>1438</v>
      </c>
      <c r="EP220" s="39">
        <v>136</v>
      </c>
      <c r="EQ220" s="39">
        <v>96</v>
      </c>
      <c r="ES220" s="39">
        <v>4</v>
      </c>
      <c r="EV220" s="39">
        <v>2</v>
      </c>
    </row>
    <row r="221" spans="2:152" x14ac:dyDescent="0.25">
      <c r="C221">
        <v>502351</v>
      </c>
      <c r="D221" t="s">
        <v>1439</v>
      </c>
      <c r="X221" s="39">
        <v>96</v>
      </c>
      <c r="Y221" s="39">
        <v>136</v>
      </c>
      <c r="Z221" s="39">
        <v>1.25</v>
      </c>
      <c r="ED221"/>
    </row>
    <row r="224" spans="2:152" x14ac:dyDescent="0.25">
      <c r="C224">
        <v>502352</v>
      </c>
      <c r="D224" s="39" t="s">
        <v>1132</v>
      </c>
    </row>
    <row r="225" spans="2:152" x14ac:dyDescent="0.25">
      <c r="C225">
        <v>502352</v>
      </c>
      <c r="D225" s="39" t="s">
        <v>154</v>
      </c>
      <c r="T225" s="112" t="s">
        <v>1140</v>
      </c>
      <c r="U225" s="112" t="s">
        <v>1140</v>
      </c>
      <c r="V225" s="112" t="s">
        <v>1120</v>
      </c>
    </row>
    <row r="226" spans="2:152" x14ac:dyDescent="0.25">
      <c r="C226">
        <v>502352</v>
      </c>
      <c r="D226" s="118" t="s">
        <v>1141</v>
      </c>
      <c r="G226" s="112" t="s">
        <v>1436</v>
      </c>
      <c r="I226" s="112" t="s">
        <v>1436</v>
      </c>
      <c r="U226" s="112" t="s">
        <v>1436</v>
      </c>
      <c r="AF226" s="112" t="s">
        <v>1436</v>
      </c>
      <c r="AG226" s="112" t="s">
        <v>1436</v>
      </c>
      <c r="AL226" s="112">
        <v>0</v>
      </c>
      <c r="AM226" s="112">
        <v>1</v>
      </c>
      <c r="AN226" s="39">
        <v>320</v>
      </c>
      <c r="AO226" s="39">
        <v>798</v>
      </c>
      <c r="AQ226" s="112" t="s">
        <v>1436</v>
      </c>
    </row>
    <row r="227" spans="2:152" x14ac:dyDescent="0.25">
      <c r="C227">
        <v>502352</v>
      </c>
      <c r="D227" s="118" t="s">
        <v>1142</v>
      </c>
      <c r="G227" s="112" t="s">
        <v>1437</v>
      </c>
      <c r="I227" s="112" t="s">
        <v>1437</v>
      </c>
      <c r="U227" s="112" t="s">
        <v>1437</v>
      </c>
      <c r="AF227" s="112" t="s">
        <v>1437</v>
      </c>
      <c r="AG227" s="112" t="s">
        <v>1437</v>
      </c>
      <c r="AL227" s="112">
        <v>0</v>
      </c>
      <c r="AM227" s="112">
        <v>1</v>
      </c>
      <c r="AN227" s="39">
        <v>320</v>
      </c>
      <c r="AO227" s="39">
        <v>798</v>
      </c>
      <c r="AQ227" s="112" t="s">
        <v>1437</v>
      </c>
    </row>
    <row r="228" spans="2:152" x14ac:dyDescent="0.25">
      <c r="B228" s="119"/>
      <c r="C228"/>
      <c r="D228" s="120" t="s">
        <v>1432</v>
      </c>
      <c r="G228" s="39" t="s">
        <v>1433</v>
      </c>
      <c r="I228" s="112" t="s">
        <v>1434</v>
      </c>
      <c r="U228" s="112" t="s">
        <v>1434</v>
      </c>
      <c r="AF228" s="112" t="s">
        <v>1434</v>
      </c>
      <c r="AG228" s="112" t="s">
        <v>1434</v>
      </c>
      <c r="AI228" s="112" t="s">
        <v>1435</v>
      </c>
      <c r="AJ228" s="112" t="s">
        <v>1434</v>
      </c>
      <c r="AL228" s="112">
        <v>1</v>
      </c>
      <c r="AM228" s="112">
        <v>0</v>
      </c>
      <c r="AN228" s="39">
        <v>238</v>
      </c>
      <c r="AP228" s="112"/>
      <c r="AQ228" s="39" t="s">
        <v>1433</v>
      </c>
    </row>
    <row r="229" spans="2:152" x14ac:dyDescent="0.25">
      <c r="C229">
        <v>502352</v>
      </c>
      <c r="D229" s="39" t="s">
        <v>1438</v>
      </c>
      <c r="EN229" s="39" t="s">
        <v>1142</v>
      </c>
      <c r="EO229" s="39" t="s">
        <v>1438</v>
      </c>
      <c r="EP229" s="39">
        <v>205</v>
      </c>
      <c r="EQ229" s="39">
        <v>118</v>
      </c>
      <c r="ES229" s="39">
        <v>4</v>
      </c>
      <c r="EV229" s="39">
        <v>2</v>
      </c>
    </row>
    <row r="230" spans="2:152" x14ac:dyDescent="0.25">
      <c r="C230">
        <v>502352</v>
      </c>
      <c r="D230" s="39" t="s">
        <v>1440</v>
      </c>
      <c r="EN230" s="39" t="s">
        <v>1142</v>
      </c>
      <c r="EO230" s="39" t="s">
        <v>1440</v>
      </c>
      <c r="EP230" s="39">
        <v>120</v>
      </c>
      <c r="EQ230" s="39">
        <v>40</v>
      </c>
      <c r="ES230" s="39">
        <v>4</v>
      </c>
      <c r="EV230" s="39">
        <v>2</v>
      </c>
    </row>
    <row r="231" spans="2:152" x14ac:dyDescent="0.25">
      <c r="C231">
        <v>502352</v>
      </c>
      <c r="D231" t="s">
        <v>1439</v>
      </c>
      <c r="X231" s="39">
        <v>118</v>
      </c>
      <c r="Y231" s="39">
        <v>205</v>
      </c>
      <c r="Z231" s="39">
        <v>1.25</v>
      </c>
      <c r="ED231"/>
    </row>
    <row r="232" spans="2:152" x14ac:dyDescent="0.25">
      <c r="C232">
        <v>502352</v>
      </c>
      <c r="D232" t="s">
        <v>1443</v>
      </c>
      <c r="X232" s="39">
        <v>40</v>
      </c>
      <c r="Y232" s="39">
        <v>120</v>
      </c>
      <c r="Z232" s="39">
        <v>1.25</v>
      </c>
      <c r="ED232"/>
    </row>
    <row r="235" spans="2:152" x14ac:dyDescent="0.25">
      <c r="C235">
        <v>502353</v>
      </c>
      <c r="D235" s="39" t="s">
        <v>1132</v>
      </c>
    </row>
    <row r="236" spans="2:152" x14ac:dyDescent="0.25">
      <c r="C236">
        <v>502353</v>
      </c>
      <c r="D236" s="39" t="s">
        <v>154</v>
      </c>
      <c r="T236" s="112" t="s">
        <v>1140</v>
      </c>
      <c r="U236" s="112" t="s">
        <v>1140</v>
      </c>
      <c r="V236" s="112" t="s">
        <v>1120</v>
      </c>
    </row>
    <row r="237" spans="2:152" x14ac:dyDescent="0.25">
      <c r="C237">
        <v>502353</v>
      </c>
      <c r="D237" s="118" t="s">
        <v>1141</v>
      </c>
      <c r="G237" s="112" t="s">
        <v>1436</v>
      </c>
      <c r="I237" s="112" t="s">
        <v>1436</v>
      </c>
      <c r="U237" s="112" t="s">
        <v>1436</v>
      </c>
      <c r="AF237" s="112" t="s">
        <v>1436</v>
      </c>
      <c r="AG237" s="112" t="s">
        <v>1436</v>
      </c>
      <c r="AL237" s="112">
        <v>0</v>
      </c>
      <c r="AM237" s="112">
        <v>1</v>
      </c>
      <c r="AN237" s="39">
        <v>520</v>
      </c>
      <c r="AO237" s="39">
        <v>598</v>
      </c>
      <c r="AQ237" s="112" t="s">
        <v>1436</v>
      </c>
    </row>
    <row r="238" spans="2:152" x14ac:dyDescent="0.25">
      <c r="C238">
        <v>502353</v>
      </c>
      <c r="D238" s="118" t="s">
        <v>1142</v>
      </c>
      <c r="G238" s="112" t="s">
        <v>1437</v>
      </c>
      <c r="I238" s="112" t="s">
        <v>1437</v>
      </c>
      <c r="U238" s="112" t="s">
        <v>1437</v>
      </c>
      <c r="AF238" s="112" t="s">
        <v>1437</v>
      </c>
      <c r="AG238" s="112" t="s">
        <v>1437</v>
      </c>
      <c r="AL238" s="112">
        <v>0</v>
      </c>
      <c r="AM238" s="112">
        <v>1</v>
      </c>
      <c r="AN238" s="39">
        <v>520</v>
      </c>
      <c r="AO238" s="39">
        <v>598</v>
      </c>
      <c r="AQ238" s="112" t="s">
        <v>1437</v>
      </c>
    </row>
    <row r="239" spans="2:152" x14ac:dyDescent="0.25">
      <c r="B239" s="119"/>
      <c r="C239"/>
      <c r="D239" s="120" t="s">
        <v>1432</v>
      </c>
      <c r="G239" s="39" t="s">
        <v>1433</v>
      </c>
      <c r="I239" s="112" t="s">
        <v>1434</v>
      </c>
      <c r="U239" s="112" t="s">
        <v>1434</v>
      </c>
      <c r="AF239" s="112" t="s">
        <v>1434</v>
      </c>
      <c r="AG239" s="112" t="s">
        <v>1434</v>
      </c>
      <c r="AI239" s="112" t="s">
        <v>1435</v>
      </c>
      <c r="AJ239" s="112" t="s">
        <v>1434</v>
      </c>
      <c r="AL239" s="112">
        <v>1</v>
      </c>
      <c r="AM239" s="112">
        <v>0</v>
      </c>
      <c r="AN239" s="39">
        <v>238</v>
      </c>
      <c r="AP239" s="112"/>
      <c r="AQ239" s="39" t="s">
        <v>1433</v>
      </c>
    </row>
    <row r="240" spans="2:152" x14ac:dyDescent="0.25">
      <c r="C240">
        <v>502353</v>
      </c>
      <c r="D240" s="39" t="s">
        <v>1438</v>
      </c>
      <c r="EN240" s="39" t="s">
        <v>1142</v>
      </c>
      <c r="EO240" s="39" t="s">
        <v>1438</v>
      </c>
      <c r="EP240" s="39">
        <v>205</v>
      </c>
      <c r="EQ240" s="39">
        <v>118</v>
      </c>
      <c r="ES240" s="39">
        <v>4</v>
      </c>
      <c r="EV240" s="39">
        <v>2</v>
      </c>
    </row>
    <row r="241" spans="2:152" x14ac:dyDescent="0.25">
      <c r="C241">
        <v>502353</v>
      </c>
      <c r="D241" t="s">
        <v>1439</v>
      </c>
      <c r="X241" s="39">
        <v>118</v>
      </c>
      <c r="Y241" s="39">
        <v>205</v>
      </c>
      <c r="Z241" s="39">
        <v>1.25</v>
      </c>
      <c r="ED241"/>
    </row>
    <row r="242" spans="2:152" x14ac:dyDescent="0.25">
      <c r="B242" s="119"/>
      <c r="C242"/>
      <c r="D242" s="120"/>
      <c r="I242" s="112"/>
      <c r="U242" s="112"/>
      <c r="AF242" s="112"/>
      <c r="AG242" s="112"/>
      <c r="AI242" s="112"/>
      <c r="AJ242" s="112"/>
      <c r="AL242" s="112"/>
      <c r="AM242" s="112"/>
      <c r="AP242" s="112"/>
    </row>
    <row r="244" spans="2:152" x14ac:dyDescent="0.25">
      <c r="C244">
        <v>502354</v>
      </c>
      <c r="D244" s="39" t="s">
        <v>1132</v>
      </c>
    </row>
    <row r="245" spans="2:152" x14ac:dyDescent="0.25">
      <c r="C245">
        <v>502354</v>
      </c>
      <c r="D245" s="39" t="s">
        <v>154</v>
      </c>
      <c r="T245" s="112" t="s">
        <v>1140</v>
      </c>
      <c r="U245" s="112" t="s">
        <v>1140</v>
      </c>
      <c r="V245" s="112" t="s">
        <v>1120</v>
      </c>
    </row>
    <row r="246" spans="2:152" x14ac:dyDescent="0.25">
      <c r="C246">
        <v>502354</v>
      </c>
      <c r="D246" s="118" t="s">
        <v>1141</v>
      </c>
      <c r="G246" s="112" t="s">
        <v>1436</v>
      </c>
      <c r="I246" s="112" t="s">
        <v>1436</v>
      </c>
      <c r="U246" s="112" t="s">
        <v>1436</v>
      </c>
      <c r="AF246" s="112" t="s">
        <v>1436</v>
      </c>
      <c r="AG246" s="112" t="s">
        <v>1436</v>
      </c>
      <c r="AL246" s="112">
        <v>0</v>
      </c>
      <c r="AM246" s="112">
        <v>1</v>
      </c>
      <c r="AN246" s="39">
        <v>520</v>
      </c>
      <c r="AO246" s="39">
        <v>798</v>
      </c>
      <c r="AQ246" s="112" t="s">
        <v>1436</v>
      </c>
    </row>
    <row r="247" spans="2:152" x14ac:dyDescent="0.25">
      <c r="C247">
        <v>502354</v>
      </c>
      <c r="D247" s="118" t="s">
        <v>1142</v>
      </c>
      <c r="G247" s="112" t="s">
        <v>1437</v>
      </c>
      <c r="I247" s="112" t="s">
        <v>1437</v>
      </c>
      <c r="U247" s="112" t="s">
        <v>1437</v>
      </c>
      <c r="AF247" s="112" t="s">
        <v>1437</v>
      </c>
      <c r="AG247" s="112" t="s">
        <v>1437</v>
      </c>
      <c r="AL247" s="112">
        <v>0</v>
      </c>
      <c r="AM247" s="112">
        <v>1</v>
      </c>
      <c r="AN247" s="39">
        <v>520</v>
      </c>
      <c r="AO247" s="39">
        <v>798</v>
      </c>
      <c r="AQ247" s="112" t="s">
        <v>1437</v>
      </c>
    </row>
    <row r="248" spans="2:152" x14ac:dyDescent="0.25">
      <c r="B248" s="119"/>
      <c r="C248"/>
      <c r="D248" s="120" t="s">
        <v>1432</v>
      </c>
      <c r="G248" s="39" t="s">
        <v>1433</v>
      </c>
      <c r="I248" s="112" t="s">
        <v>1434</v>
      </c>
      <c r="U248" s="112" t="s">
        <v>1434</v>
      </c>
      <c r="AF248" s="112" t="s">
        <v>1434</v>
      </c>
      <c r="AG248" s="112" t="s">
        <v>1434</v>
      </c>
      <c r="AI248" s="112" t="s">
        <v>1435</v>
      </c>
      <c r="AJ248" s="112" t="s">
        <v>1434</v>
      </c>
      <c r="AL248" s="112">
        <v>1</v>
      </c>
      <c r="AM248" s="112">
        <v>0</v>
      </c>
      <c r="AN248" s="39">
        <v>238</v>
      </c>
      <c r="AP248" s="112"/>
      <c r="AQ248" s="39" t="s">
        <v>1433</v>
      </c>
    </row>
    <row r="249" spans="2:152" x14ac:dyDescent="0.25">
      <c r="C249">
        <v>502354</v>
      </c>
      <c r="D249" s="39" t="s">
        <v>1438</v>
      </c>
      <c r="EN249" s="39" t="s">
        <v>1142</v>
      </c>
      <c r="EO249" s="39" t="s">
        <v>1438</v>
      </c>
      <c r="EP249" s="39">
        <v>205</v>
      </c>
      <c r="EQ249" s="39">
        <v>118</v>
      </c>
      <c r="ES249" s="39">
        <v>4</v>
      </c>
      <c r="EV249" s="39">
        <v>2</v>
      </c>
    </row>
    <row r="250" spans="2:152" x14ac:dyDescent="0.25">
      <c r="C250">
        <v>502354</v>
      </c>
      <c r="D250" s="39" t="s">
        <v>1440</v>
      </c>
      <c r="EN250" s="39" t="s">
        <v>1142</v>
      </c>
      <c r="EO250" s="39" t="s">
        <v>1440</v>
      </c>
      <c r="EP250" s="39">
        <v>120</v>
      </c>
      <c r="EQ250" s="39">
        <v>40</v>
      </c>
      <c r="ES250" s="39">
        <v>4</v>
      </c>
      <c r="EV250" s="39">
        <v>2</v>
      </c>
    </row>
    <row r="251" spans="2:152" x14ac:dyDescent="0.25">
      <c r="C251">
        <v>502354</v>
      </c>
      <c r="D251" t="s">
        <v>1439</v>
      </c>
      <c r="X251" s="39">
        <v>118</v>
      </c>
      <c r="Y251" s="39">
        <v>205</v>
      </c>
      <c r="Z251" s="39">
        <v>1.25</v>
      </c>
      <c r="ED251"/>
    </row>
    <row r="252" spans="2:152" x14ac:dyDescent="0.25">
      <c r="C252">
        <v>502354</v>
      </c>
      <c r="D252" t="s">
        <v>1443</v>
      </c>
      <c r="X252" s="39">
        <v>40</v>
      </c>
      <c r="Y252" s="39">
        <v>120</v>
      </c>
      <c r="Z252" s="39">
        <v>1.25</v>
      </c>
      <c r="ED252"/>
    </row>
    <row r="255" spans="2:152" x14ac:dyDescent="0.25">
      <c r="C255">
        <v>502355</v>
      </c>
      <c r="D255" s="39" t="s">
        <v>1132</v>
      </c>
    </row>
    <row r="256" spans="2:152" x14ac:dyDescent="0.25">
      <c r="C256">
        <v>502355</v>
      </c>
      <c r="D256" s="39" t="s">
        <v>154</v>
      </c>
      <c r="T256" s="112" t="s">
        <v>1140</v>
      </c>
      <c r="U256" s="112" t="s">
        <v>1140</v>
      </c>
      <c r="V256" s="112" t="s">
        <v>1120</v>
      </c>
    </row>
    <row r="257" spans="2:152" x14ac:dyDescent="0.25">
      <c r="C257">
        <v>502355</v>
      </c>
      <c r="D257" s="118" t="s">
        <v>1141</v>
      </c>
      <c r="G257" s="112" t="s">
        <v>1436</v>
      </c>
      <c r="I257" s="112" t="s">
        <v>1436</v>
      </c>
      <c r="U257" s="112" t="s">
        <v>1436</v>
      </c>
      <c r="AF257" s="112" t="s">
        <v>1436</v>
      </c>
      <c r="AG257" s="112" t="s">
        <v>1436</v>
      </c>
      <c r="AL257" s="112">
        <v>0</v>
      </c>
      <c r="AM257" s="112">
        <v>1</v>
      </c>
      <c r="AN257" s="39">
        <v>720</v>
      </c>
      <c r="AO257" s="39">
        <v>598</v>
      </c>
      <c r="AQ257" s="112" t="s">
        <v>1436</v>
      </c>
    </row>
    <row r="258" spans="2:152" x14ac:dyDescent="0.25">
      <c r="C258">
        <v>502355</v>
      </c>
      <c r="D258" s="118" t="s">
        <v>1142</v>
      </c>
      <c r="G258" s="112" t="s">
        <v>1437</v>
      </c>
      <c r="I258" s="112" t="s">
        <v>1437</v>
      </c>
      <c r="U258" s="112" t="s">
        <v>1437</v>
      </c>
      <c r="AF258" s="112" t="s">
        <v>1437</v>
      </c>
      <c r="AG258" s="112" t="s">
        <v>1437</v>
      </c>
      <c r="AL258" s="112">
        <v>0</v>
      </c>
      <c r="AM258" s="112">
        <v>1</v>
      </c>
      <c r="AN258" s="39">
        <v>720</v>
      </c>
      <c r="AO258" s="39">
        <v>598</v>
      </c>
      <c r="AQ258" s="112" t="s">
        <v>1437</v>
      </c>
    </row>
    <row r="259" spans="2:152" x14ac:dyDescent="0.25">
      <c r="B259" s="119"/>
      <c r="C259"/>
      <c r="D259" s="120" t="s">
        <v>1432</v>
      </c>
      <c r="G259" s="39" t="s">
        <v>1433</v>
      </c>
      <c r="I259" s="112" t="s">
        <v>1434</v>
      </c>
      <c r="U259" s="112" t="s">
        <v>1434</v>
      </c>
      <c r="AF259" s="112" t="s">
        <v>1434</v>
      </c>
      <c r="AG259" s="112" t="s">
        <v>1434</v>
      </c>
      <c r="AI259" s="112" t="s">
        <v>1435</v>
      </c>
      <c r="AJ259" s="112" t="s">
        <v>1434</v>
      </c>
      <c r="AL259" s="112">
        <v>1</v>
      </c>
      <c r="AM259" s="112">
        <v>0</v>
      </c>
      <c r="AN259" s="39">
        <v>238</v>
      </c>
      <c r="AP259" s="112"/>
      <c r="AQ259" s="39" t="s">
        <v>1433</v>
      </c>
    </row>
    <row r="260" spans="2:152" x14ac:dyDescent="0.25">
      <c r="C260">
        <v>502355</v>
      </c>
      <c r="D260" s="39" t="s">
        <v>1438</v>
      </c>
      <c r="EN260" s="39" t="s">
        <v>1142</v>
      </c>
      <c r="EO260" s="39" t="s">
        <v>1438</v>
      </c>
      <c r="EP260" s="39">
        <v>205</v>
      </c>
      <c r="EQ260" s="39">
        <v>118</v>
      </c>
      <c r="ES260" s="39">
        <v>4</v>
      </c>
      <c r="EV260" s="39">
        <v>2</v>
      </c>
    </row>
    <row r="261" spans="2:152" x14ac:dyDescent="0.25">
      <c r="C261">
        <v>502355</v>
      </c>
      <c r="D261" t="s">
        <v>1439</v>
      </c>
      <c r="X261" s="39">
        <v>118</v>
      </c>
      <c r="Y261" s="39">
        <v>205</v>
      </c>
      <c r="Z261" s="39">
        <v>1.25</v>
      </c>
      <c r="ED261"/>
    </row>
    <row r="264" spans="2:152" x14ac:dyDescent="0.25">
      <c r="C264">
        <v>502356</v>
      </c>
      <c r="D264" s="39" t="s">
        <v>1132</v>
      </c>
    </row>
    <row r="265" spans="2:152" x14ac:dyDescent="0.25">
      <c r="C265">
        <v>502356</v>
      </c>
      <c r="D265" s="39" t="s">
        <v>154</v>
      </c>
      <c r="T265" s="112" t="s">
        <v>1140</v>
      </c>
      <c r="U265" s="112" t="s">
        <v>1140</v>
      </c>
      <c r="V265" s="112" t="s">
        <v>1120</v>
      </c>
    </row>
    <row r="266" spans="2:152" x14ac:dyDescent="0.25">
      <c r="C266">
        <v>502356</v>
      </c>
      <c r="D266" s="118" t="s">
        <v>1141</v>
      </c>
      <c r="G266" s="112" t="s">
        <v>1436</v>
      </c>
      <c r="I266" s="112" t="s">
        <v>1436</v>
      </c>
      <c r="U266" s="112" t="s">
        <v>1436</v>
      </c>
      <c r="AF266" s="112" t="s">
        <v>1436</v>
      </c>
      <c r="AG266" s="112" t="s">
        <v>1436</v>
      </c>
      <c r="AL266" s="112">
        <v>0</v>
      </c>
      <c r="AM266" s="112">
        <v>1</v>
      </c>
      <c r="AN266" s="39">
        <v>720</v>
      </c>
      <c r="AO266" s="39">
        <v>798</v>
      </c>
      <c r="AQ266" s="112" t="s">
        <v>1436</v>
      </c>
    </row>
    <row r="267" spans="2:152" x14ac:dyDescent="0.25">
      <c r="C267">
        <v>502356</v>
      </c>
      <c r="D267" s="118" t="s">
        <v>1142</v>
      </c>
      <c r="G267" s="112" t="s">
        <v>1437</v>
      </c>
      <c r="I267" s="112" t="s">
        <v>1437</v>
      </c>
      <c r="U267" s="112" t="s">
        <v>1437</v>
      </c>
      <c r="AF267" s="112" t="s">
        <v>1437</v>
      </c>
      <c r="AG267" s="112" t="s">
        <v>1437</v>
      </c>
      <c r="AL267" s="112">
        <v>0</v>
      </c>
      <c r="AM267" s="112">
        <v>1</v>
      </c>
      <c r="AN267" s="39">
        <v>720</v>
      </c>
      <c r="AO267" s="39">
        <v>798</v>
      </c>
      <c r="AQ267" s="112" t="s">
        <v>1437</v>
      </c>
    </row>
    <row r="268" spans="2:152" x14ac:dyDescent="0.25">
      <c r="B268" s="119"/>
      <c r="C268"/>
      <c r="D268" s="120" t="s">
        <v>1432</v>
      </c>
      <c r="G268" s="39" t="s">
        <v>1433</v>
      </c>
      <c r="I268" s="112" t="s">
        <v>1434</v>
      </c>
      <c r="U268" s="112" t="s">
        <v>1434</v>
      </c>
      <c r="AF268" s="112" t="s">
        <v>1434</v>
      </c>
      <c r="AG268" s="112" t="s">
        <v>1434</v>
      </c>
      <c r="AI268" s="112" t="s">
        <v>1435</v>
      </c>
      <c r="AJ268" s="112" t="s">
        <v>1434</v>
      </c>
      <c r="AL268" s="112">
        <v>1</v>
      </c>
      <c r="AM268" s="112">
        <v>0</v>
      </c>
      <c r="AN268" s="39">
        <v>238</v>
      </c>
      <c r="AP268" s="112"/>
      <c r="AQ268" s="39" t="s">
        <v>1433</v>
      </c>
    </row>
    <row r="269" spans="2:152" x14ac:dyDescent="0.25">
      <c r="C269">
        <v>502356</v>
      </c>
      <c r="D269" s="39" t="s">
        <v>1438</v>
      </c>
      <c r="EN269" s="39" t="s">
        <v>1142</v>
      </c>
      <c r="EO269" s="39" t="s">
        <v>1438</v>
      </c>
      <c r="EP269" s="39">
        <v>205</v>
      </c>
      <c r="EQ269" s="39">
        <v>118</v>
      </c>
      <c r="ES269" s="39">
        <v>4</v>
      </c>
      <c r="EV269" s="39">
        <v>2</v>
      </c>
    </row>
    <row r="270" spans="2:152" x14ac:dyDescent="0.25">
      <c r="C270">
        <v>502356</v>
      </c>
      <c r="D270" s="39" t="s">
        <v>1440</v>
      </c>
      <c r="EN270" s="39" t="s">
        <v>1142</v>
      </c>
      <c r="EO270" s="39" t="s">
        <v>1440</v>
      </c>
      <c r="EP270" s="39">
        <v>120</v>
      </c>
      <c r="EQ270" s="39">
        <v>40</v>
      </c>
      <c r="ES270" s="39">
        <v>4</v>
      </c>
      <c r="EV270" s="39">
        <v>2</v>
      </c>
    </row>
    <row r="271" spans="2:152" x14ac:dyDescent="0.25">
      <c r="C271">
        <v>502356</v>
      </c>
      <c r="D271" t="s">
        <v>1439</v>
      </c>
      <c r="X271" s="39">
        <v>118</v>
      </c>
      <c r="Y271" s="39">
        <v>205</v>
      </c>
      <c r="Z271" s="39">
        <v>1.25</v>
      </c>
      <c r="ED271"/>
    </row>
    <row r="272" spans="2:152" x14ac:dyDescent="0.25">
      <c r="C272">
        <v>502356</v>
      </c>
      <c r="D272" t="s">
        <v>1443</v>
      </c>
      <c r="X272" s="39">
        <v>40</v>
      </c>
      <c r="Y272" s="39">
        <v>120</v>
      </c>
      <c r="Z272" s="39">
        <v>1.25</v>
      </c>
      <c r="ED272"/>
    </row>
    <row r="275" spans="2:152" x14ac:dyDescent="0.25">
      <c r="C275">
        <v>502357</v>
      </c>
      <c r="D275" s="39" t="s">
        <v>1132</v>
      </c>
    </row>
    <row r="276" spans="2:152" x14ac:dyDescent="0.25">
      <c r="C276">
        <v>502357</v>
      </c>
      <c r="D276" s="39" t="s">
        <v>154</v>
      </c>
      <c r="T276" s="112" t="s">
        <v>1140</v>
      </c>
      <c r="U276" s="112" t="s">
        <v>1140</v>
      </c>
      <c r="V276" s="112" t="s">
        <v>1120</v>
      </c>
    </row>
    <row r="277" spans="2:152" x14ac:dyDescent="0.25">
      <c r="C277">
        <v>502357</v>
      </c>
      <c r="D277" s="118" t="s">
        <v>1141</v>
      </c>
      <c r="G277" s="112" t="s">
        <v>1436</v>
      </c>
      <c r="I277" s="112" t="s">
        <v>1436</v>
      </c>
      <c r="U277" s="112" t="s">
        <v>1436</v>
      </c>
      <c r="AF277" s="112" t="s">
        <v>1436</v>
      </c>
      <c r="AG277" s="112" t="s">
        <v>1436</v>
      </c>
      <c r="AL277" s="112">
        <v>0</v>
      </c>
      <c r="AM277" s="112">
        <v>1</v>
      </c>
      <c r="AN277" s="39">
        <v>520</v>
      </c>
      <c r="AO277" s="39">
        <v>198</v>
      </c>
      <c r="AQ277" s="112" t="s">
        <v>1436</v>
      </c>
    </row>
    <row r="278" spans="2:152" x14ac:dyDescent="0.25">
      <c r="C278">
        <v>502357</v>
      </c>
      <c r="D278" s="118" t="s">
        <v>1142</v>
      </c>
      <c r="G278" s="112" t="s">
        <v>1437</v>
      </c>
      <c r="I278" s="112" t="s">
        <v>1437</v>
      </c>
      <c r="U278" s="112" t="s">
        <v>1437</v>
      </c>
      <c r="AF278" s="112" t="s">
        <v>1437</v>
      </c>
      <c r="AG278" s="112" t="s">
        <v>1437</v>
      </c>
      <c r="AL278" s="112">
        <v>0</v>
      </c>
      <c r="AM278" s="112">
        <v>1</v>
      </c>
      <c r="AN278" s="39">
        <v>520</v>
      </c>
      <c r="AO278" s="39">
        <v>198</v>
      </c>
      <c r="AQ278" s="112" t="s">
        <v>1437</v>
      </c>
    </row>
    <row r="279" spans="2:152" x14ac:dyDescent="0.25">
      <c r="B279" s="119"/>
      <c r="C279"/>
      <c r="D279" s="120" t="s">
        <v>1432</v>
      </c>
      <c r="G279" s="39" t="s">
        <v>1433</v>
      </c>
      <c r="I279" s="112" t="s">
        <v>1434</v>
      </c>
      <c r="U279" s="112" t="s">
        <v>1434</v>
      </c>
      <c r="AF279" s="112" t="s">
        <v>1434</v>
      </c>
      <c r="AG279" s="112" t="s">
        <v>1434</v>
      </c>
      <c r="AI279" s="112" t="s">
        <v>1435</v>
      </c>
      <c r="AJ279" s="112" t="s">
        <v>1434</v>
      </c>
      <c r="AL279" s="112">
        <v>1</v>
      </c>
      <c r="AM279" s="112">
        <v>0</v>
      </c>
      <c r="AN279" s="39">
        <v>238</v>
      </c>
      <c r="AP279" s="112"/>
      <c r="AQ279" s="39" t="s">
        <v>1433</v>
      </c>
    </row>
    <row r="280" spans="2:152" x14ac:dyDescent="0.25">
      <c r="C280">
        <v>502357</v>
      </c>
      <c r="D280" s="39" t="s">
        <v>1438</v>
      </c>
      <c r="EN280" s="39" t="s">
        <v>1142</v>
      </c>
      <c r="EO280" s="39" t="s">
        <v>1438</v>
      </c>
      <c r="EP280" s="39">
        <v>46</v>
      </c>
      <c r="EQ280" s="39">
        <v>91</v>
      </c>
      <c r="ES280" s="39">
        <v>4</v>
      </c>
      <c r="EV280" s="39">
        <v>2</v>
      </c>
    </row>
    <row r="281" spans="2:152" x14ac:dyDescent="0.25">
      <c r="C281">
        <v>502357</v>
      </c>
      <c r="D281" t="s">
        <v>1439</v>
      </c>
      <c r="X281" s="39">
        <v>91</v>
      </c>
      <c r="Y281" s="39">
        <v>46</v>
      </c>
      <c r="Z281" s="39">
        <v>1.25</v>
      </c>
      <c r="ED281"/>
    </row>
    <row r="284" spans="2:152" x14ac:dyDescent="0.25">
      <c r="C284">
        <v>502358</v>
      </c>
      <c r="D284" s="39" t="s">
        <v>1132</v>
      </c>
    </row>
    <row r="285" spans="2:152" x14ac:dyDescent="0.25">
      <c r="C285">
        <v>502358</v>
      </c>
      <c r="D285" s="39" t="s">
        <v>154</v>
      </c>
      <c r="T285" s="112" t="s">
        <v>1140</v>
      </c>
      <c r="U285" s="112" t="s">
        <v>1140</v>
      </c>
      <c r="V285" s="112" t="s">
        <v>1120</v>
      </c>
    </row>
    <row r="286" spans="2:152" x14ac:dyDescent="0.25">
      <c r="C286">
        <v>502358</v>
      </c>
      <c r="D286" s="118" t="s">
        <v>1141</v>
      </c>
      <c r="G286" s="112" t="s">
        <v>1436</v>
      </c>
      <c r="I286" s="112" t="s">
        <v>1436</v>
      </c>
      <c r="U286" s="112" t="s">
        <v>1436</v>
      </c>
      <c r="AF286" s="112" t="s">
        <v>1436</v>
      </c>
      <c r="AG286" s="112" t="s">
        <v>1436</v>
      </c>
      <c r="AL286" s="112">
        <v>0</v>
      </c>
      <c r="AM286" s="112">
        <v>1</v>
      </c>
      <c r="AN286" s="39">
        <v>720</v>
      </c>
      <c r="AO286" s="39">
        <v>198</v>
      </c>
      <c r="AQ286" s="112" t="s">
        <v>1436</v>
      </c>
    </row>
    <row r="287" spans="2:152" x14ac:dyDescent="0.25">
      <c r="C287">
        <v>502358</v>
      </c>
      <c r="D287" s="118" t="s">
        <v>1142</v>
      </c>
      <c r="G287" s="112" t="s">
        <v>1437</v>
      </c>
      <c r="I287" s="112" t="s">
        <v>1437</v>
      </c>
      <c r="U287" s="112" t="s">
        <v>1437</v>
      </c>
      <c r="AF287" s="112" t="s">
        <v>1437</v>
      </c>
      <c r="AG287" s="112" t="s">
        <v>1437</v>
      </c>
      <c r="AL287" s="112">
        <v>0</v>
      </c>
      <c r="AM287" s="112">
        <v>1</v>
      </c>
      <c r="AN287" s="39">
        <v>720</v>
      </c>
      <c r="AO287" s="39">
        <v>198</v>
      </c>
      <c r="AQ287" s="112" t="s">
        <v>1437</v>
      </c>
    </row>
    <row r="288" spans="2:152" x14ac:dyDescent="0.25">
      <c r="B288" s="119"/>
      <c r="C288"/>
      <c r="D288" s="120" t="s">
        <v>1432</v>
      </c>
      <c r="G288" s="39" t="s">
        <v>1433</v>
      </c>
      <c r="I288" s="112" t="s">
        <v>1434</v>
      </c>
      <c r="U288" s="112" t="s">
        <v>1434</v>
      </c>
      <c r="AF288" s="112" t="s">
        <v>1434</v>
      </c>
      <c r="AG288" s="112" t="s">
        <v>1434</v>
      </c>
      <c r="AI288" s="112" t="s">
        <v>1435</v>
      </c>
      <c r="AJ288" s="112" t="s">
        <v>1434</v>
      </c>
      <c r="AL288" s="112">
        <v>1</v>
      </c>
      <c r="AM288" s="112">
        <v>0</v>
      </c>
      <c r="AN288" s="39">
        <v>238</v>
      </c>
      <c r="AP288" s="112"/>
      <c r="AQ288" s="39" t="s">
        <v>1433</v>
      </c>
    </row>
    <row r="289" spans="2:152" x14ac:dyDescent="0.25">
      <c r="C289">
        <v>502358</v>
      </c>
      <c r="D289" s="39" t="s">
        <v>1438</v>
      </c>
      <c r="EN289" s="39" t="s">
        <v>1142</v>
      </c>
      <c r="EO289" s="39" t="s">
        <v>1438</v>
      </c>
      <c r="EP289" s="39">
        <v>46</v>
      </c>
      <c r="EQ289" s="39">
        <v>91</v>
      </c>
      <c r="ES289" s="39">
        <v>4</v>
      </c>
      <c r="EV289" s="39">
        <v>2</v>
      </c>
    </row>
    <row r="290" spans="2:152" x14ac:dyDescent="0.25">
      <c r="C290">
        <v>502358</v>
      </c>
      <c r="D290" t="s">
        <v>1439</v>
      </c>
      <c r="X290" s="39">
        <v>91</v>
      </c>
      <c r="Y290" s="39">
        <v>46</v>
      </c>
      <c r="Z290" s="39">
        <v>1.25</v>
      </c>
      <c r="ED290"/>
    </row>
    <row r="293" spans="2:152" x14ac:dyDescent="0.25">
      <c r="C293">
        <v>502359</v>
      </c>
      <c r="D293" s="39" t="s">
        <v>1132</v>
      </c>
    </row>
    <row r="294" spans="2:152" x14ac:dyDescent="0.25">
      <c r="C294">
        <v>502359</v>
      </c>
      <c r="D294" s="39" t="s">
        <v>154</v>
      </c>
      <c r="T294" s="112" t="s">
        <v>1140</v>
      </c>
      <c r="U294" s="112" t="s">
        <v>1140</v>
      </c>
      <c r="V294" s="112" t="s">
        <v>1120</v>
      </c>
    </row>
    <row r="295" spans="2:152" x14ac:dyDescent="0.25">
      <c r="C295">
        <v>502359</v>
      </c>
      <c r="D295" s="118" t="s">
        <v>1141</v>
      </c>
      <c r="G295" s="112" t="s">
        <v>1436</v>
      </c>
      <c r="I295" s="112" t="s">
        <v>1436</v>
      </c>
      <c r="U295" s="112" t="s">
        <v>1436</v>
      </c>
      <c r="AF295" s="112" t="s">
        <v>1436</v>
      </c>
      <c r="AG295" s="112" t="s">
        <v>1436</v>
      </c>
      <c r="AL295" s="112">
        <v>0</v>
      </c>
      <c r="AM295" s="112">
        <v>1</v>
      </c>
      <c r="AN295" s="39">
        <v>520</v>
      </c>
      <c r="AO295" s="39">
        <v>198</v>
      </c>
      <c r="AQ295" s="112" t="s">
        <v>1436</v>
      </c>
    </row>
    <row r="296" spans="2:152" x14ac:dyDescent="0.25">
      <c r="C296">
        <v>502359</v>
      </c>
      <c r="D296" s="118" t="s">
        <v>1142</v>
      </c>
      <c r="G296" s="112" t="s">
        <v>1437</v>
      </c>
      <c r="I296" s="112" t="s">
        <v>1437</v>
      </c>
      <c r="U296" s="112" t="s">
        <v>1437</v>
      </c>
      <c r="AF296" s="112" t="s">
        <v>1437</v>
      </c>
      <c r="AG296" s="112" t="s">
        <v>1437</v>
      </c>
      <c r="AL296" s="112">
        <v>0</v>
      </c>
      <c r="AM296" s="112">
        <v>1</v>
      </c>
      <c r="AN296" s="39">
        <v>520</v>
      </c>
      <c r="AO296" s="39">
        <v>198</v>
      </c>
      <c r="AQ296" s="112" t="s">
        <v>1437</v>
      </c>
    </row>
    <row r="297" spans="2:152" x14ac:dyDescent="0.25">
      <c r="B297" s="119"/>
      <c r="C297"/>
      <c r="D297" s="120" t="s">
        <v>1432</v>
      </c>
      <c r="G297" s="39" t="s">
        <v>1433</v>
      </c>
      <c r="I297" s="112" t="s">
        <v>1434</v>
      </c>
      <c r="U297" s="112" t="s">
        <v>1434</v>
      </c>
      <c r="AF297" s="112" t="s">
        <v>1434</v>
      </c>
      <c r="AG297" s="112" t="s">
        <v>1434</v>
      </c>
      <c r="AI297" s="112" t="s">
        <v>1435</v>
      </c>
      <c r="AJ297" s="112" t="s">
        <v>1434</v>
      </c>
      <c r="AL297" s="112">
        <v>1</v>
      </c>
      <c r="AM297" s="112">
        <v>0</v>
      </c>
      <c r="AN297" s="39">
        <v>238</v>
      </c>
      <c r="AP297" s="112"/>
      <c r="AQ297" s="39" t="s">
        <v>1433</v>
      </c>
    </row>
    <row r="298" spans="2:152" x14ac:dyDescent="0.25">
      <c r="C298">
        <v>502359</v>
      </c>
      <c r="D298" s="39" t="s">
        <v>1438</v>
      </c>
      <c r="EN298" s="39" t="s">
        <v>1142</v>
      </c>
      <c r="EO298" s="39" t="s">
        <v>1438</v>
      </c>
      <c r="EP298" s="39">
        <v>96</v>
      </c>
      <c r="EQ298" s="39">
        <v>101</v>
      </c>
      <c r="ES298" s="39">
        <v>4</v>
      </c>
      <c r="EV298" s="39">
        <v>2</v>
      </c>
    </row>
    <row r="299" spans="2:152" x14ac:dyDescent="0.25">
      <c r="C299">
        <v>502359</v>
      </c>
      <c r="D299" t="s">
        <v>1439</v>
      </c>
      <c r="X299" s="39">
        <v>101</v>
      </c>
      <c r="Y299" s="39">
        <v>96</v>
      </c>
      <c r="Z299" s="39">
        <v>1.25</v>
      </c>
      <c r="ED299"/>
    </row>
    <row r="302" spans="2:152" x14ac:dyDescent="0.25">
      <c r="C302">
        <v>502360</v>
      </c>
      <c r="D302" s="39" t="s">
        <v>1132</v>
      </c>
    </row>
    <row r="303" spans="2:152" x14ac:dyDescent="0.25">
      <c r="C303">
        <v>502360</v>
      </c>
      <c r="D303" s="39" t="s">
        <v>154</v>
      </c>
      <c r="T303" s="112" t="s">
        <v>1140</v>
      </c>
      <c r="U303" s="112" t="s">
        <v>1140</v>
      </c>
      <c r="V303" s="112" t="s">
        <v>1120</v>
      </c>
    </row>
    <row r="304" spans="2:152" x14ac:dyDescent="0.25">
      <c r="C304">
        <v>502360</v>
      </c>
      <c r="D304" s="118" t="s">
        <v>1141</v>
      </c>
      <c r="G304" s="112" t="s">
        <v>1436</v>
      </c>
      <c r="I304" s="112" t="s">
        <v>1436</v>
      </c>
      <c r="U304" s="112" t="s">
        <v>1436</v>
      </c>
      <c r="AF304" s="112" t="s">
        <v>1436</v>
      </c>
      <c r="AG304" s="112" t="s">
        <v>1436</v>
      </c>
      <c r="AL304" s="112">
        <v>0</v>
      </c>
      <c r="AM304" s="112">
        <v>1</v>
      </c>
      <c r="AN304" s="39">
        <v>520</v>
      </c>
      <c r="AO304" s="39">
        <v>198</v>
      </c>
      <c r="AQ304" s="112" t="s">
        <v>1436</v>
      </c>
    </row>
    <row r="305" spans="2:152" x14ac:dyDescent="0.25">
      <c r="C305">
        <v>502360</v>
      </c>
      <c r="D305" s="118" t="s">
        <v>1142</v>
      </c>
      <c r="G305" s="112" t="s">
        <v>1437</v>
      </c>
      <c r="I305" s="112" t="s">
        <v>1437</v>
      </c>
      <c r="U305" s="112" t="s">
        <v>1437</v>
      </c>
      <c r="AF305" s="112" t="s">
        <v>1437</v>
      </c>
      <c r="AG305" s="112" t="s">
        <v>1437</v>
      </c>
      <c r="AL305" s="112">
        <v>0</v>
      </c>
      <c r="AM305" s="112">
        <v>1</v>
      </c>
      <c r="AN305" s="39">
        <v>520</v>
      </c>
      <c r="AO305" s="39">
        <v>198</v>
      </c>
      <c r="AQ305" s="112" t="s">
        <v>1437</v>
      </c>
    </row>
    <row r="306" spans="2:152" x14ac:dyDescent="0.25">
      <c r="B306" s="119"/>
      <c r="C306"/>
      <c r="D306" s="120" t="s">
        <v>1432</v>
      </c>
      <c r="G306" s="39" t="s">
        <v>1433</v>
      </c>
      <c r="I306" s="112" t="s">
        <v>1434</v>
      </c>
      <c r="U306" s="112" t="s">
        <v>1434</v>
      </c>
      <c r="AF306" s="112" t="s">
        <v>1434</v>
      </c>
      <c r="AG306" s="112" t="s">
        <v>1434</v>
      </c>
      <c r="AI306" s="112" t="s">
        <v>1435</v>
      </c>
      <c r="AJ306" s="112" t="s">
        <v>1434</v>
      </c>
      <c r="AL306" s="112">
        <v>1</v>
      </c>
      <c r="AM306" s="112">
        <v>0</v>
      </c>
      <c r="AN306" s="39">
        <v>238</v>
      </c>
      <c r="AP306" s="112"/>
      <c r="AQ306" s="39" t="s">
        <v>1433</v>
      </c>
    </row>
    <row r="307" spans="2:152" x14ac:dyDescent="0.25">
      <c r="C307">
        <v>502360</v>
      </c>
      <c r="D307" s="39" t="s">
        <v>1438</v>
      </c>
      <c r="EN307" s="39" t="s">
        <v>1142</v>
      </c>
      <c r="EO307" s="39" t="s">
        <v>1438</v>
      </c>
      <c r="EP307" s="39">
        <v>96</v>
      </c>
      <c r="EQ307" s="39">
        <v>101</v>
      </c>
      <c r="ES307" s="39">
        <v>4</v>
      </c>
      <c r="EV307" s="39">
        <v>2</v>
      </c>
    </row>
    <row r="308" spans="2:152" x14ac:dyDescent="0.25">
      <c r="C308">
        <v>502360</v>
      </c>
      <c r="D308" s="39" t="s">
        <v>1440</v>
      </c>
      <c r="EN308" s="39" t="s">
        <v>1142</v>
      </c>
      <c r="EO308" s="39" t="s">
        <v>1440</v>
      </c>
      <c r="EP308" s="39">
        <v>24</v>
      </c>
      <c r="EQ308" s="39">
        <v>88</v>
      </c>
      <c r="ES308" s="39">
        <v>4</v>
      </c>
      <c r="EV308" s="39">
        <v>2</v>
      </c>
    </row>
    <row r="309" spans="2:152" x14ac:dyDescent="0.25">
      <c r="C309">
        <v>502360</v>
      </c>
      <c r="D309" s="39" t="s">
        <v>1441</v>
      </c>
      <c r="EN309" s="39" t="s">
        <v>1142</v>
      </c>
      <c r="EO309" s="39" t="s">
        <v>1441</v>
      </c>
      <c r="EP309" s="39">
        <v>24</v>
      </c>
      <c r="EQ309" s="39">
        <v>84.2</v>
      </c>
      <c r="ES309" s="39">
        <v>4</v>
      </c>
      <c r="EV309" s="39">
        <v>2</v>
      </c>
    </row>
    <row r="310" spans="2:152" x14ac:dyDescent="0.25">
      <c r="C310">
        <v>502360</v>
      </c>
      <c r="D310" s="39" t="s">
        <v>1442</v>
      </c>
      <c r="EN310" s="39" t="s">
        <v>1142</v>
      </c>
      <c r="EO310" s="39" t="s">
        <v>1442</v>
      </c>
      <c r="EP310" s="39">
        <v>52</v>
      </c>
      <c r="EQ310" s="39">
        <v>20</v>
      </c>
      <c r="ES310" s="39">
        <v>4</v>
      </c>
      <c r="EV310" s="39">
        <v>2</v>
      </c>
    </row>
    <row r="311" spans="2:152" x14ac:dyDescent="0.25">
      <c r="C311">
        <v>502360</v>
      </c>
      <c r="D311" t="s">
        <v>1439</v>
      </c>
      <c r="X311" s="39">
        <v>101</v>
      </c>
      <c r="Y311" s="39">
        <v>96</v>
      </c>
      <c r="Z311" s="39">
        <v>1.25</v>
      </c>
      <c r="ED311"/>
    </row>
    <row r="312" spans="2:152" x14ac:dyDescent="0.25">
      <c r="C312">
        <v>502360</v>
      </c>
      <c r="D312" t="s">
        <v>1443</v>
      </c>
      <c r="X312" s="39">
        <v>88</v>
      </c>
      <c r="Y312" s="39">
        <v>24</v>
      </c>
      <c r="Z312" s="39">
        <v>1.25</v>
      </c>
      <c r="ED312"/>
    </row>
    <row r="313" spans="2:152" x14ac:dyDescent="0.25">
      <c r="C313">
        <v>502360</v>
      </c>
      <c r="D313" t="s">
        <v>1444</v>
      </c>
      <c r="X313" s="39">
        <v>84.2</v>
      </c>
      <c r="Y313" s="39">
        <v>24</v>
      </c>
      <c r="Z313" s="39">
        <v>1.25</v>
      </c>
      <c r="ED313"/>
    </row>
    <row r="314" spans="2:152" x14ac:dyDescent="0.25">
      <c r="C314">
        <v>502360</v>
      </c>
      <c r="D314" t="s">
        <v>1445</v>
      </c>
      <c r="X314" s="39">
        <v>20</v>
      </c>
      <c r="Y314" s="39">
        <v>52</v>
      </c>
      <c r="Z314" s="39">
        <v>1.25</v>
      </c>
      <c r="ED314"/>
    </row>
    <row r="317" spans="2:152" x14ac:dyDescent="0.25">
      <c r="C317">
        <v>502361</v>
      </c>
      <c r="D317" s="39" t="s">
        <v>1132</v>
      </c>
    </row>
    <row r="318" spans="2:152" x14ac:dyDescent="0.25">
      <c r="C318">
        <v>502361</v>
      </c>
      <c r="D318" s="39" t="s">
        <v>154</v>
      </c>
      <c r="T318" s="112" t="s">
        <v>1140</v>
      </c>
      <c r="U318" s="112" t="s">
        <v>1140</v>
      </c>
      <c r="V318" s="112" t="s">
        <v>1120</v>
      </c>
    </row>
    <row r="319" spans="2:152" x14ac:dyDescent="0.25">
      <c r="C319">
        <v>502361</v>
      </c>
      <c r="D319" s="118" t="s">
        <v>1141</v>
      </c>
      <c r="G319" s="112" t="s">
        <v>1436</v>
      </c>
      <c r="I319" s="112" t="s">
        <v>1436</v>
      </c>
      <c r="U319" s="112" t="s">
        <v>1436</v>
      </c>
      <c r="AF319" s="112" t="s">
        <v>1436</v>
      </c>
      <c r="AG319" s="112" t="s">
        <v>1436</v>
      </c>
      <c r="AL319" s="112">
        <v>0</v>
      </c>
      <c r="AM319" s="112">
        <v>1</v>
      </c>
      <c r="AN319" s="39">
        <v>720</v>
      </c>
      <c r="AO319" s="39">
        <v>198</v>
      </c>
      <c r="AQ319" s="112" t="s">
        <v>1436</v>
      </c>
    </row>
    <row r="320" spans="2:152" x14ac:dyDescent="0.25">
      <c r="C320">
        <v>502361</v>
      </c>
      <c r="D320" s="118" t="s">
        <v>1142</v>
      </c>
      <c r="G320" s="112" t="s">
        <v>1437</v>
      </c>
      <c r="I320" s="112" t="s">
        <v>1437</v>
      </c>
      <c r="U320" s="112" t="s">
        <v>1437</v>
      </c>
      <c r="AF320" s="112" t="s">
        <v>1437</v>
      </c>
      <c r="AG320" s="112" t="s">
        <v>1437</v>
      </c>
      <c r="AL320" s="112">
        <v>0</v>
      </c>
      <c r="AM320" s="112">
        <v>1</v>
      </c>
      <c r="AN320" s="39">
        <v>720</v>
      </c>
      <c r="AO320" s="39">
        <v>198</v>
      </c>
      <c r="AQ320" s="112" t="s">
        <v>1437</v>
      </c>
    </row>
    <row r="321" spans="2:152" x14ac:dyDescent="0.25">
      <c r="B321" s="119"/>
      <c r="C321"/>
      <c r="D321" s="120" t="s">
        <v>1432</v>
      </c>
      <c r="G321" s="39" t="s">
        <v>1433</v>
      </c>
      <c r="I321" s="112" t="s">
        <v>1434</v>
      </c>
      <c r="U321" s="112" t="s">
        <v>1434</v>
      </c>
      <c r="AF321" s="112" t="s">
        <v>1434</v>
      </c>
      <c r="AG321" s="112" t="s">
        <v>1434</v>
      </c>
      <c r="AI321" s="112" t="s">
        <v>1435</v>
      </c>
      <c r="AJ321" s="112" t="s">
        <v>1434</v>
      </c>
      <c r="AL321" s="112">
        <v>1</v>
      </c>
      <c r="AM321" s="112">
        <v>0</v>
      </c>
      <c r="AN321" s="39">
        <v>238</v>
      </c>
      <c r="AP321" s="112"/>
      <c r="AQ321" s="39" t="s">
        <v>1433</v>
      </c>
    </row>
    <row r="322" spans="2:152" x14ac:dyDescent="0.25">
      <c r="C322">
        <v>502361</v>
      </c>
      <c r="D322" s="39" t="s">
        <v>1438</v>
      </c>
      <c r="EN322" s="39" t="s">
        <v>1142</v>
      </c>
      <c r="EO322" s="39" t="s">
        <v>1438</v>
      </c>
      <c r="EP322" s="39">
        <v>96</v>
      </c>
      <c r="EQ322" s="39">
        <v>101</v>
      </c>
      <c r="ES322" s="39">
        <v>4</v>
      </c>
      <c r="EV322" s="39">
        <v>2</v>
      </c>
    </row>
    <row r="323" spans="2:152" x14ac:dyDescent="0.25">
      <c r="C323">
        <v>502361</v>
      </c>
      <c r="D323" t="s">
        <v>1439</v>
      </c>
      <c r="X323" s="39">
        <v>101</v>
      </c>
      <c r="Y323" s="39">
        <v>96</v>
      </c>
      <c r="Z323" s="39">
        <v>1.25</v>
      </c>
      <c r="ED323"/>
    </row>
    <row r="326" spans="2:152" x14ac:dyDescent="0.25">
      <c r="C326">
        <v>502362</v>
      </c>
      <c r="D326" s="39" t="s">
        <v>1132</v>
      </c>
    </row>
    <row r="327" spans="2:152" x14ac:dyDescent="0.25">
      <c r="C327">
        <v>502362</v>
      </c>
      <c r="D327" s="39" t="s">
        <v>154</v>
      </c>
      <c r="T327" s="112" t="s">
        <v>1140</v>
      </c>
      <c r="U327" s="112" t="s">
        <v>1140</v>
      </c>
      <c r="V327" s="112" t="s">
        <v>1120</v>
      </c>
    </row>
    <row r="328" spans="2:152" x14ac:dyDescent="0.25">
      <c r="C328">
        <v>502362</v>
      </c>
      <c r="D328" s="118" t="s">
        <v>1141</v>
      </c>
      <c r="G328" s="112" t="s">
        <v>1436</v>
      </c>
      <c r="I328" s="112" t="s">
        <v>1436</v>
      </c>
      <c r="U328" s="112" t="s">
        <v>1436</v>
      </c>
      <c r="AF328" s="112" t="s">
        <v>1436</v>
      </c>
      <c r="AG328" s="112" t="s">
        <v>1436</v>
      </c>
      <c r="AL328" s="112">
        <v>0</v>
      </c>
      <c r="AM328" s="112">
        <v>1</v>
      </c>
      <c r="AN328" s="39">
        <v>720</v>
      </c>
      <c r="AO328" s="39">
        <v>198</v>
      </c>
      <c r="AQ328" s="112" t="s">
        <v>1436</v>
      </c>
    </row>
    <row r="329" spans="2:152" x14ac:dyDescent="0.25">
      <c r="C329">
        <v>502362</v>
      </c>
      <c r="D329" s="118" t="s">
        <v>1142</v>
      </c>
      <c r="G329" s="112" t="s">
        <v>1437</v>
      </c>
      <c r="I329" s="112" t="s">
        <v>1437</v>
      </c>
      <c r="U329" s="112" t="s">
        <v>1437</v>
      </c>
      <c r="AF329" s="112" t="s">
        <v>1437</v>
      </c>
      <c r="AG329" s="112" t="s">
        <v>1437</v>
      </c>
      <c r="AL329" s="112">
        <v>0</v>
      </c>
      <c r="AM329" s="112">
        <v>1</v>
      </c>
      <c r="AN329" s="39">
        <v>720</v>
      </c>
      <c r="AO329" s="39">
        <v>198</v>
      </c>
      <c r="AQ329" s="112" t="s">
        <v>1437</v>
      </c>
    </row>
    <row r="330" spans="2:152" x14ac:dyDescent="0.25">
      <c r="B330" s="119"/>
      <c r="C330"/>
      <c r="D330" s="120" t="s">
        <v>1432</v>
      </c>
      <c r="G330" s="39" t="s">
        <v>1433</v>
      </c>
      <c r="I330" s="112" t="s">
        <v>1434</v>
      </c>
      <c r="U330" s="112" t="s">
        <v>1434</v>
      </c>
      <c r="AF330" s="112" t="s">
        <v>1434</v>
      </c>
      <c r="AG330" s="112" t="s">
        <v>1434</v>
      </c>
      <c r="AI330" s="112" t="s">
        <v>1435</v>
      </c>
      <c r="AJ330" s="112" t="s">
        <v>1434</v>
      </c>
      <c r="AL330" s="112">
        <v>1</v>
      </c>
      <c r="AM330" s="112">
        <v>0</v>
      </c>
      <c r="AN330" s="39">
        <v>238</v>
      </c>
      <c r="AP330" s="112"/>
      <c r="AQ330" s="39" t="s">
        <v>1433</v>
      </c>
    </row>
    <row r="331" spans="2:152" x14ac:dyDescent="0.25">
      <c r="C331">
        <v>502362</v>
      </c>
      <c r="D331" s="39" t="s">
        <v>1438</v>
      </c>
      <c r="EN331" s="39" t="s">
        <v>1142</v>
      </c>
      <c r="EO331" s="39" t="s">
        <v>1438</v>
      </c>
      <c r="EP331" s="39">
        <v>96</v>
      </c>
      <c r="EQ331" s="39">
        <v>101</v>
      </c>
      <c r="ES331" s="39">
        <v>4</v>
      </c>
      <c r="EV331" s="39">
        <v>2</v>
      </c>
    </row>
    <row r="332" spans="2:152" x14ac:dyDescent="0.25">
      <c r="C332">
        <v>502362</v>
      </c>
      <c r="D332" s="39" t="s">
        <v>1440</v>
      </c>
      <c r="EN332" s="39" t="s">
        <v>1142</v>
      </c>
      <c r="EO332" s="39" t="s">
        <v>1440</v>
      </c>
      <c r="EP332" s="39">
        <v>24</v>
      </c>
      <c r="EQ332" s="39">
        <v>88</v>
      </c>
      <c r="ES332" s="39">
        <v>4</v>
      </c>
      <c r="EV332" s="39">
        <v>2</v>
      </c>
    </row>
    <row r="333" spans="2:152" x14ac:dyDescent="0.25">
      <c r="C333">
        <v>502362</v>
      </c>
      <c r="D333" s="39" t="s">
        <v>1441</v>
      </c>
      <c r="EN333" s="39" t="s">
        <v>1142</v>
      </c>
      <c r="EO333" s="39" t="s">
        <v>1441</v>
      </c>
      <c r="EP333" s="39">
        <v>24</v>
      </c>
      <c r="EQ333" s="39">
        <v>84.2</v>
      </c>
      <c r="ES333" s="39">
        <v>4</v>
      </c>
      <c r="EV333" s="39">
        <v>2</v>
      </c>
    </row>
    <row r="334" spans="2:152" x14ac:dyDescent="0.25">
      <c r="C334">
        <v>502362</v>
      </c>
      <c r="D334" s="39" t="s">
        <v>1442</v>
      </c>
      <c r="EN334" s="39" t="s">
        <v>1142</v>
      </c>
      <c r="EO334" s="39" t="s">
        <v>1442</v>
      </c>
      <c r="EP334" s="39">
        <v>52</v>
      </c>
      <c r="EQ334" s="39">
        <v>20</v>
      </c>
      <c r="ES334" s="39">
        <v>4</v>
      </c>
      <c r="EV334" s="39">
        <v>2</v>
      </c>
    </row>
    <row r="335" spans="2:152" x14ac:dyDescent="0.25">
      <c r="C335">
        <v>502362</v>
      </c>
      <c r="D335" t="s">
        <v>1439</v>
      </c>
      <c r="X335" s="39">
        <v>101</v>
      </c>
      <c r="Y335" s="39">
        <v>96</v>
      </c>
      <c r="Z335" s="39">
        <v>1.25</v>
      </c>
      <c r="ED335"/>
    </row>
    <row r="336" spans="2:152" x14ac:dyDescent="0.25">
      <c r="C336">
        <v>502362</v>
      </c>
      <c r="D336" t="s">
        <v>1443</v>
      </c>
      <c r="X336" s="39">
        <v>88</v>
      </c>
      <c r="Y336" s="39">
        <v>24</v>
      </c>
      <c r="Z336" s="39">
        <v>1.25</v>
      </c>
      <c r="ED336"/>
    </row>
    <row r="337" spans="2:152" x14ac:dyDescent="0.25">
      <c r="C337">
        <v>502362</v>
      </c>
      <c r="D337" t="s">
        <v>1444</v>
      </c>
      <c r="X337" s="39">
        <v>84.2</v>
      </c>
      <c r="Y337" s="39">
        <v>24</v>
      </c>
      <c r="Z337" s="39">
        <v>1.25</v>
      </c>
      <c r="ED337"/>
    </row>
    <row r="338" spans="2:152" x14ac:dyDescent="0.25">
      <c r="C338">
        <v>502362</v>
      </c>
      <c r="D338" t="s">
        <v>1445</v>
      </c>
      <c r="X338" s="39">
        <v>20</v>
      </c>
      <c r="Y338" s="39">
        <v>52</v>
      </c>
      <c r="Z338" s="39">
        <v>1.25</v>
      </c>
      <c r="ED338"/>
    </row>
    <row r="341" spans="2:152" x14ac:dyDescent="0.25">
      <c r="C341">
        <v>502363</v>
      </c>
      <c r="D341" s="39" t="s">
        <v>1132</v>
      </c>
    </row>
    <row r="342" spans="2:152" x14ac:dyDescent="0.25">
      <c r="C342">
        <v>502363</v>
      </c>
      <c r="D342" s="39" t="s">
        <v>154</v>
      </c>
      <c r="T342" s="112" t="s">
        <v>1140</v>
      </c>
      <c r="U342" s="112" t="s">
        <v>1140</v>
      </c>
      <c r="V342" s="112" t="s">
        <v>1120</v>
      </c>
    </row>
    <row r="343" spans="2:152" x14ac:dyDescent="0.25">
      <c r="C343">
        <v>502363</v>
      </c>
      <c r="D343" s="118" t="s">
        <v>1141</v>
      </c>
      <c r="G343" s="112" t="s">
        <v>1436</v>
      </c>
      <c r="I343" s="112" t="s">
        <v>1436</v>
      </c>
      <c r="U343" s="112" t="s">
        <v>1436</v>
      </c>
      <c r="AF343" s="112" t="s">
        <v>1436</v>
      </c>
      <c r="AG343" s="112" t="s">
        <v>1436</v>
      </c>
      <c r="AL343" s="112">
        <v>0</v>
      </c>
      <c r="AM343" s="112">
        <v>1</v>
      </c>
      <c r="AN343" s="39">
        <v>520</v>
      </c>
      <c r="AO343" s="39">
        <v>398</v>
      </c>
      <c r="AQ343" s="112" t="s">
        <v>1436</v>
      </c>
    </row>
    <row r="344" spans="2:152" x14ac:dyDescent="0.25">
      <c r="C344">
        <v>502363</v>
      </c>
      <c r="D344" s="118" t="s">
        <v>1142</v>
      </c>
      <c r="G344" s="112" t="s">
        <v>1437</v>
      </c>
      <c r="I344" s="112" t="s">
        <v>1437</v>
      </c>
      <c r="U344" s="112" t="s">
        <v>1437</v>
      </c>
      <c r="AF344" s="112" t="s">
        <v>1437</v>
      </c>
      <c r="AG344" s="112" t="s">
        <v>1437</v>
      </c>
      <c r="AL344" s="112">
        <v>0</v>
      </c>
      <c r="AM344" s="112">
        <v>1</v>
      </c>
      <c r="AN344" s="39">
        <v>520</v>
      </c>
      <c r="AO344" s="39">
        <v>398</v>
      </c>
      <c r="AQ344" s="112" t="s">
        <v>1437</v>
      </c>
    </row>
    <row r="345" spans="2:152" x14ac:dyDescent="0.25">
      <c r="B345" s="119"/>
      <c r="C345"/>
      <c r="D345" s="120" t="s">
        <v>1432</v>
      </c>
      <c r="G345" s="39" t="s">
        <v>1433</v>
      </c>
      <c r="I345" s="112" t="s">
        <v>1434</v>
      </c>
      <c r="U345" s="112" t="s">
        <v>1434</v>
      </c>
      <c r="AF345" s="112" t="s">
        <v>1434</v>
      </c>
      <c r="AG345" s="112" t="s">
        <v>1434</v>
      </c>
      <c r="AI345" s="112" t="s">
        <v>1435</v>
      </c>
      <c r="AJ345" s="112" t="s">
        <v>1434</v>
      </c>
      <c r="AL345" s="112">
        <v>1</v>
      </c>
      <c r="AM345" s="112">
        <v>0</v>
      </c>
      <c r="AN345" s="39">
        <v>238</v>
      </c>
      <c r="AP345" s="112"/>
      <c r="AQ345" s="39" t="s">
        <v>1433</v>
      </c>
    </row>
    <row r="346" spans="2:152" x14ac:dyDescent="0.25">
      <c r="C346">
        <v>502363</v>
      </c>
      <c r="D346" s="39" t="s">
        <v>1438</v>
      </c>
      <c r="EN346" s="39" t="s">
        <v>1142</v>
      </c>
      <c r="EO346" s="39" t="s">
        <v>1438</v>
      </c>
      <c r="EP346" s="39">
        <v>96</v>
      </c>
      <c r="EQ346" s="39">
        <v>136</v>
      </c>
      <c r="ES346" s="39">
        <v>4</v>
      </c>
      <c r="EV346" s="39">
        <v>2</v>
      </c>
    </row>
    <row r="347" spans="2:152" x14ac:dyDescent="0.25">
      <c r="C347">
        <v>502363</v>
      </c>
      <c r="D347" t="s">
        <v>1439</v>
      </c>
      <c r="X347" s="39">
        <v>136</v>
      </c>
      <c r="Y347" s="39">
        <v>96</v>
      </c>
      <c r="Z347" s="39">
        <v>1.25</v>
      </c>
      <c r="ED347"/>
    </row>
    <row r="350" spans="2:152" x14ac:dyDescent="0.25">
      <c r="C350">
        <v>502364</v>
      </c>
      <c r="D350" s="39" t="s">
        <v>1132</v>
      </c>
    </row>
    <row r="351" spans="2:152" x14ac:dyDescent="0.25">
      <c r="C351">
        <v>502364</v>
      </c>
      <c r="D351" s="39" t="s">
        <v>154</v>
      </c>
      <c r="T351" s="112" t="s">
        <v>1140</v>
      </c>
      <c r="U351" s="112" t="s">
        <v>1140</v>
      </c>
      <c r="V351" s="112" t="s">
        <v>1120</v>
      </c>
    </row>
    <row r="352" spans="2:152" x14ac:dyDescent="0.25">
      <c r="C352">
        <v>502364</v>
      </c>
      <c r="D352" s="118" t="s">
        <v>1141</v>
      </c>
      <c r="G352" s="112" t="s">
        <v>1436</v>
      </c>
      <c r="I352" s="112" t="s">
        <v>1436</v>
      </c>
      <c r="U352" s="112" t="s">
        <v>1436</v>
      </c>
      <c r="AF352" s="112" t="s">
        <v>1436</v>
      </c>
      <c r="AG352" s="112" t="s">
        <v>1436</v>
      </c>
      <c r="AL352" s="112">
        <v>0</v>
      </c>
      <c r="AM352" s="112">
        <v>1</v>
      </c>
      <c r="AN352" s="39">
        <v>720</v>
      </c>
      <c r="AO352" s="39">
        <v>398</v>
      </c>
      <c r="AQ352" s="112" t="s">
        <v>1436</v>
      </c>
    </row>
    <row r="353" spans="2:152" x14ac:dyDescent="0.25">
      <c r="C353">
        <v>502364</v>
      </c>
      <c r="D353" s="118" t="s">
        <v>1142</v>
      </c>
      <c r="G353" s="112" t="s">
        <v>1437</v>
      </c>
      <c r="I353" s="112" t="s">
        <v>1437</v>
      </c>
      <c r="U353" s="112" t="s">
        <v>1437</v>
      </c>
      <c r="AF353" s="112" t="s">
        <v>1437</v>
      </c>
      <c r="AG353" s="112" t="s">
        <v>1437</v>
      </c>
      <c r="AL353" s="112">
        <v>0</v>
      </c>
      <c r="AM353" s="112">
        <v>1</v>
      </c>
      <c r="AN353" s="39">
        <v>720</v>
      </c>
      <c r="AO353" s="39">
        <v>398</v>
      </c>
      <c r="AQ353" s="112" t="s">
        <v>1437</v>
      </c>
    </row>
    <row r="354" spans="2:152" x14ac:dyDescent="0.25">
      <c r="B354" s="119"/>
      <c r="C354"/>
      <c r="D354" s="120" t="s">
        <v>1432</v>
      </c>
      <c r="G354" s="39" t="s">
        <v>1433</v>
      </c>
      <c r="I354" s="112" t="s">
        <v>1434</v>
      </c>
      <c r="U354" s="112" t="s">
        <v>1434</v>
      </c>
      <c r="AF354" s="112" t="s">
        <v>1434</v>
      </c>
      <c r="AG354" s="112" t="s">
        <v>1434</v>
      </c>
      <c r="AI354" s="112" t="s">
        <v>1435</v>
      </c>
      <c r="AJ354" s="112" t="s">
        <v>1434</v>
      </c>
      <c r="AL354" s="112">
        <v>1</v>
      </c>
      <c r="AM354" s="112">
        <v>0</v>
      </c>
      <c r="AN354" s="39">
        <v>238</v>
      </c>
      <c r="AP354" s="112"/>
      <c r="AQ354" s="39" t="s">
        <v>1433</v>
      </c>
    </row>
    <row r="355" spans="2:152" x14ac:dyDescent="0.25">
      <c r="C355">
        <v>502364</v>
      </c>
      <c r="D355" s="39" t="s">
        <v>1438</v>
      </c>
      <c r="EN355" s="39" t="s">
        <v>1142</v>
      </c>
      <c r="EO355" s="39" t="s">
        <v>1438</v>
      </c>
      <c r="EP355" s="39">
        <v>96</v>
      </c>
      <c r="EQ355" s="39">
        <v>136</v>
      </c>
      <c r="ES355" s="39">
        <v>4</v>
      </c>
      <c r="EV355" s="39">
        <v>2</v>
      </c>
    </row>
    <row r="356" spans="2:152" x14ac:dyDescent="0.25">
      <c r="C356">
        <v>502364</v>
      </c>
      <c r="D356" t="s">
        <v>1439</v>
      </c>
      <c r="X356" s="39">
        <v>136</v>
      </c>
      <c r="Y356" s="39">
        <v>96</v>
      </c>
      <c r="Z356" s="39">
        <v>1.25</v>
      </c>
      <c r="ED356"/>
    </row>
    <row r="359" spans="2:152" x14ac:dyDescent="0.25">
      <c r="C359">
        <v>502365</v>
      </c>
      <c r="D359" s="39" t="s">
        <v>1132</v>
      </c>
    </row>
    <row r="360" spans="2:152" x14ac:dyDescent="0.25">
      <c r="C360">
        <v>502365</v>
      </c>
      <c r="D360" s="39" t="s">
        <v>154</v>
      </c>
      <c r="T360" s="112" t="s">
        <v>1140</v>
      </c>
      <c r="U360" s="112" t="s">
        <v>1140</v>
      </c>
      <c r="V360" s="112" t="s">
        <v>1120</v>
      </c>
    </row>
    <row r="361" spans="2:152" x14ac:dyDescent="0.25">
      <c r="C361">
        <v>502365</v>
      </c>
      <c r="D361" s="118" t="s">
        <v>1141</v>
      </c>
      <c r="G361" s="112" t="s">
        <v>1436</v>
      </c>
      <c r="I361" s="112" t="s">
        <v>1436</v>
      </c>
      <c r="U361" s="112" t="s">
        <v>1436</v>
      </c>
      <c r="AF361" s="112" t="s">
        <v>1436</v>
      </c>
      <c r="AG361" s="112" t="s">
        <v>1436</v>
      </c>
      <c r="AL361" s="112">
        <v>0</v>
      </c>
      <c r="AM361" s="112">
        <v>1</v>
      </c>
      <c r="AN361" s="39">
        <v>520</v>
      </c>
      <c r="AO361" s="39">
        <v>598</v>
      </c>
      <c r="AQ361" s="112" t="s">
        <v>1436</v>
      </c>
    </row>
    <row r="362" spans="2:152" x14ac:dyDescent="0.25">
      <c r="C362">
        <v>502365</v>
      </c>
      <c r="D362" s="118" t="s">
        <v>1142</v>
      </c>
      <c r="G362" s="112" t="s">
        <v>1437</v>
      </c>
      <c r="I362" s="112" t="s">
        <v>1437</v>
      </c>
      <c r="U362" s="112" t="s">
        <v>1437</v>
      </c>
      <c r="AF362" s="112" t="s">
        <v>1437</v>
      </c>
      <c r="AG362" s="112" t="s">
        <v>1437</v>
      </c>
      <c r="AL362" s="112">
        <v>0</v>
      </c>
      <c r="AM362" s="112">
        <v>1</v>
      </c>
      <c r="AN362" s="39">
        <v>520</v>
      </c>
      <c r="AO362" s="39">
        <v>598</v>
      </c>
      <c r="AQ362" s="112" t="s">
        <v>1437</v>
      </c>
    </row>
    <row r="363" spans="2:152" x14ac:dyDescent="0.25">
      <c r="B363" s="119"/>
      <c r="C363"/>
      <c r="D363" s="120" t="s">
        <v>1432</v>
      </c>
      <c r="G363" s="39" t="s">
        <v>1433</v>
      </c>
      <c r="I363" s="112" t="s">
        <v>1434</v>
      </c>
      <c r="U363" s="112" t="s">
        <v>1434</v>
      </c>
      <c r="AF363" s="112" t="s">
        <v>1434</v>
      </c>
      <c r="AG363" s="112" t="s">
        <v>1434</v>
      </c>
      <c r="AI363" s="112" t="s">
        <v>1435</v>
      </c>
      <c r="AJ363" s="112" t="s">
        <v>1434</v>
      </c>
      <c r="AL363" s="112">
        <v>1</v>
      </c>
      <c r="AM363" s="112">
        <v>0</v>
      </c>
      <c r="AN363" s="39">
        <v>238</v>
      </c>
      <c r="AP363" s="112"/>
      <c r="AQ363" s="39" t="s">
        <v>1433</v>
      </c>
    </row>
    <row r="364" spans="2:152" x14ac:dyDescent="0.25">
      <c r="C364">
        <v>502365</v>
      </c>
      <c r="D364" s="39" t="s">
        <v>1438</v>
      </c>
      <c r="EN364" s="39" t="s">
        <v>1142</v>
      </c>
      <c r="EO364" s="39" t="s">
        <v>1438</v>
      </c>
      <c r="EP364" s="39">
        <v>118</v>
      </c>
      <c r="EQ364" s="39">
        <v>205</v>
      </c>
      <c r="ES364" s="39">
        <v>4</v>
      </c>
      <c r="EV364" s="39">
        <v>2</v>
      </c>
    </row>
    <row r="365" spans="2:152" x14ac:dyDescent="0.25">
      <c r="C365">
        <v>502365</v>
      </c>
      <c r="D365" t="s">
        <v>1439</v>
      </c>
      <c r="X365" s="39">
        <v>205</v>
      </c>
      <c r="Y365" s="39">
        <v>118</v>
      </c>
      <c r="Z365" s="39">
        <v>1.25</v>
      </c>
      <c r="ED365"/>
    </row>
    <row r="368" spans="2:152" x14ac:dyDescent="0.25">
      <c r="C368">
        <v>502366</v>
      </c>
      <c r="D368" s="39" t="s">
        <v>1132</v>
      </c>
    </row>
    <row r="369" spans="3:152" x14ac:dyDescent="0.25">
      <c r="C369">
        <v>502366</v>
      </c>
      <c r="D369" s="39" t="s">
        <v>154</v>
      </c>
      <c r="T369" s="112" t="s">
        <v>1140</v>
      </c>
      <c r="U369" s="112" t="s">
        <v>1140</v>
      </c>
      <c r="V369" s="112" t="s">
        <v>1120</v>
      </c>
    </row>
    <row r="370" spans="3:152" x14ac:dyDescent="0.25">
      <c r="C370">
        <v>502366</v>
      </c>
      <c r="D370" s="118" t="s">
        <v>1141</v>
      </c>
      <c r="G370" s="112" t="s">
        <v>1436</v>
      </c>
      <c r="I370" s="112" t="s">
        <v>1436</v>
      </c>
      <c r="U370" s="112" t="s">
        <v>1436</v>
      </c>
      <c r="AF370" s="112" t="s">
        <v>1436</v>
      </c>
      <c r="AG370" s="112" t="s">
        <v>1436</v>
      </c>
      <c r="AL370" s="112">
        <v>0</v>
      </c>
      <c r="AM370" s="112">
        <v>1</v>
      </c>
      <c r="AN370" s="39">
        <v>720</v>
      </c>
      <c r="AO370" s="39">
        <v>598</v>
      </c>
      <c r="AQ370" s="112" t="s">
        <v>1436</v>
      </c>
    </row>
    <row r="371" spans="3:152" x14ac:dyDescent="0.25">
      <c r="C371">
        <v>502366</v>
      </c>
      <c r="D371" s="118" t="s">
        <v>1142</v>
      </c>
      <c r="G371" s="112" t="s">
        <v>1437</v>
      </c>
      <c r="I371" s="112" t="s">
        <v>1437</v>
      </c>
      <c r="U371" s="112" t="s">
        <v>1437</v>
      </c>
      <c r="AF371" s="112" t="s">
        <v>1437</v>
      </c>
      <c r="AG371" s="112" t="s">
        <v>1437</v>
      </c>
      <c r="AL371" s="112">
        <v>0</v>
      </c>
      <c r="AM371" s="112">
        <v>1</v>
      </c>
      <c r="AN371" s="39">
        <v>720</v>
      </c>
      <c r="AO371" s="39">
        <v>598</v>
      </c>
      <c r="AQ371" s="112" t="s">
        <v>1437</v>
      </c>
    </row>
    <row r="372" spans="3:152" x14ac:dyDescent="0.25">
      <c r="C372">
        <v>502366</v>
      </c>
      <c r="D372" s="39" t="s">
        <v>1438</v>
      </c>
      <c r="EN372" s="39" t="s">
        <v>1142</v>
      </c>
      <c r="EO372" t="s">
        <v>1438</v>
      </c>
      <c r="EP372" s="39">
        <v>118</v>
      </c>
      <c r="EQ372" s="39">
        <v>205</v>
      </c>
      <c r="ES372" s="39">
        <v>4</v>
      </c>
      <c r="EV372" s="39">
        <v>2</v>
      </c>
    </row>
    <row r="373" spans="3:152" x14ac:dyDescent="0.25">
      <c r="C373">
        <v>502366</v>
      </c>
      <c r="D373" t="s">
        <v>1439</v>
      </c>
      <c r="X373" s="39">
        <v>205</v>
      </c>
      <c r="Y373" s="39">
        <v>118</v>
      </c>
      <c r="Z373" s="39">
        <v>1.25</v>
      </c>
      <c r="ED373"/>
    </row>
  </sheetData>
  <mergeCells count="1">
    <mergeCell ref="CZ3:DA3"/>
  </mergeCells>
  <phoneticPr fontId="35" type="noConversion"/>
  <hyperlinks>
    <hyperlink ref="L6" location="AAM734_connection_type_HELP" display="AAM734" xr:uid="{BDF57053-B669-4EA8-990A-D1090FEE3A24}"/>
    <hyperlink ref="CG6" location="AAC207_contact_material_HELP" display="AAC207" xr:uid="{70074661-23B0-4234-8570-652669A051F5}"/>
    <hyperlink ref="D6" location="connection_point_name_pins_HELP" display="Only Classification" xr:uid="{38C27DC0-B0DC-4D3A-8E8B-7FE76546E3F4}"/>
    <hyperlink ref="M6" location="AAN496_connection_direction_HELP" display="AAN496" xr:uid="{C71EA633-1A59-463F-8CE7-9D93062BAF61}"/>
    <hyperlink ref="G6" location="Help!A104" display="Only Classification" xr:uid="{028794C9-82D6-4B9D-BA93-6AFDDC4B6AA4}"/>
    <hyperlink ref="CU6" location="AAN476_drilling_type_HELP" display="AAN476" xr:uid="{ED2F8D17-E7A7-437F-BAB0-191F1B02DE21}"/>
    <hyperlink ref="BC6" location="AAN413_connection_function_HELP" display="Connection function" xr:uid="{3E8B06BB-34DC-468F-9AA9-BD84F0A6EC73}"/>
    <hyperlink ref="CB6" location="AAG644_socket_size_HELP" display="AAG644" xr:uid="{8862D77F-D88A-4B31-B71B-30BF709DA648}"/>
    <hyperlink ref="DH6" location="AAN580_type_of_plug_connection_HELP" display="CNS_TYPE_OF_PLUG_CONNECTION" xr:uid="{901AA36B-DE0E-4F6E-B161-0A03925C31D4}"/>
    <hyperlink ref="AD6" location="AAM654_type_of_barred_area_HELP" display="CNS_TYPE_OF_BARRED_AREA" xr:uid="{ED26BBCC-FD17-4A24-82F3-914F7F2FF026}"/>
    <hyperlink ref="EH6" location="AAZ399_area_shape_HELP" display="CNS_AREA_SHAPE" xr:uid="{C8C23F0B-F5B0-4C0B-973D-A1294ACD86F8}"/>
    <hyperlink ref="ES6" location="AAZ399_area_shape_HELP" display="CNS_AREA_SHAPE" xr:uid="{D282C47F-D28C-402A-B576-38DADE4F37C8}"/>
    <hyperlink ref="EV6" location="CNS_RESTRICTED_AREA_TYPE_HELP" display="CNS_RESTRICTED_AREA_TYPE" xr:uid="{753DA554-7EC5-45EB-9F0C-7C6A75C69A71}"/>
    <hyperlink ref="BN6" location="CROSS_AWG_MIN_HELP" display="CROSSECTION_MIN_AWG" xr:uid="{3B60137F-6B98-48CD-93B9-19C552958E24}"/>
    <hyperlink ref="BO6" location="CROSS_AWG_MAX_HELP" display="CROSSECTION_MAX_AWG" xr:uid="{376686E3-A81E-4D7F-82A7-A56CFCD21646}"/>
    <hyperlink ref="AQ6" location="CNS_COMPONENT_FUNCTION_3D_HELP" display="CNS_COMPONENT_FUNCTION_3D" xr:uid="{7CC1B6D9-55FB-4396-A5CB-7FFA39FF088A}"/>
    <hyperlink ref="CV6" location="drilling_subtype_Help" display="000005001" xr:uid="{483B7127-EC61-43C7-B33D-8D566A1BF663}"/>
    <hyperlink ref="U6" location="mounting_description_HELP" display="CNS_SIM_DESCRIPTION" xr:uid="{DA69BB2C-3194-4F16-87BF-A7A5AB3728EB}"/>
    <hyperlink ref="AA6" location="Help!CNS_TYPE_OF_BARRED_AREA_Type" display="CNS_TYPE_OF_BARRED_AREA " xr:uid="{4DE922B7-4086-4406-B42B-DB498658EB12}"/>
    <hyperlink ref="AK6" location="Help!CNS_COMPONENT_MOUNTING_TYPE" display="CNS_COMPONENT_MOUNTING_TYPE" xr:uid="{0C697C04-64F5-4424-B8E5-D6A55A643BD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7331-12B5-49AA-86AB-F481D53422BC}">
  <dimension ref="A1:J8"/>
  <sheetViews>
    <sheetView topLeftCell="A6" workbookViewId="0">
      <selection activeCell="A10" sqref="A10"/>
    </sheetView>
  </sheetViews>
  <sheetFormatPr defaultColWidth="11.42578125" defaultRowHeight="15" x14ac:dyDescent="0.25"/>
  <cols>
    <col min="1" max="1" width="12.57031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58" t="s">
        <v>132</v>
      </c>
      <c r="C1" s="59" t="s">
        <v>460</v>
      </c>
      <c r="D1" s="59" t="s">
        <v>460</v>
      </c>
      <c r="E1" s="59"/>
      <c r="F1" s="59" t="s">
        <v>460</v>
      </c>
      <c r="G1" s="59" t="s">
        <v>460</v>
      </c>
      <c r="H1" s="59" t="s">
        <v>460</v>
      </c>
      <c r="I1" s="59" t="s">
        <v>460</v>
      </c>
      <c r="J1" s="59" t="s">
        <v>460</v>
      </c>
    </row>
    <row r="2" spans="1:10" customFormat="1" ht="57" thickBot="1" x14ac:dyDescent="0.3">
      <c r="A2" s="60" t="s">
        <v>147</v>
      </c>
      <c r="B2" s="6" t="s">
        <v>461</v>
      </c>
      <c r="C2" s="7" t="s">
        <v>4</v>
      </c>
      <c r="D2" s="83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31.5" x14ac:dyDescent="0.25">
      <c r="A3" s="59" t="s">
        <v>168</v>
      </c>
      <c r="B3" s="13" t="s">
        <v>8</v>
      </c>
      <c r="C3" s="13" t="s">
        <v>462</v>
      </c>
      <c r="D3" s="13" t="s">
        <v>462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87" customFormat="1" ht="37.5" x14ac:dyDescent="0.25">
      <c r="A4" s="13" t="s">
        <v>175</v>
      </c>
      <c r="B4" s="84" t="s">
        <v>104</v>
      </c>
      <c r="C4" s="69" t="s">
        <v>221</v>
      </c>
      <c r="D4" s="85" t="s">
        <v>17</v>
      </c>
      <c r="E4" s="86"/>
      <c r="F4" s="69" t="s">
        <v>463</v>
      </c>
      <c r="G4" s="85" t="s">
        <v>20</v>
      </c>
      <c r="H4" s="69" t="s">
        <v>14</v>
      </c>
      <c r="I4" s="85" t="s">
        <v>29</v>
      </c>
      <c r="J4" s="69" t="s">
        <v>464</v>
      </c>
    </row>
    <row r="5" spans="1:10" s="87" customFormat="1" ht="56.25" x14ac:dyDescent="0.25">
      <c r="A5" s="59" t="s">
        <v>177</v>
      </c>
      <c r="B5" s="84" t="s">
        <v>104</v>
      </c>
      <c r="C5" s="69" t="s">
        <v>318</v>
      </c>
      <c r="D5" s="69" t="s">
        <v>465</v>
      </c>
      <c r="E5" s="86"/>
      <c r="F5" s="88" t="s">
        <v>466</v>
      </c>
      <c r="G5" s="69" t="s">
        <v>467</v>
      </c>
      <c r="H5" s="69" t="s">
        <v>468</v>
      </c>
      <c r="I5" s="69" t="s">
        <v>469</v>
      </c>
      <c r="J5" s="85" t="s">
        <v>470</v>
      </c>
    </row>
    <row r="6" spans="1:10" customFormat="1" ht="337.5" x14ac:dyDescent="0.25">
      <c r="A6" s="59" t="s">
        <v>282</v>
      </c>
      <c r="B6" s="34" t="s">
        <v>471</v>
      </c>
      <c r="C6" s="34" t="s">
        <v>472</v>
      </c>
      <c r="D6" s="34" t="s">
        <v>473</v>
      </c>
      <c r="E6" s="25"/>
      <c r="F6" s="89" t="s">
        <v>474</v>
      </c>
      <c r="G6" s="34" t="s">
        <v>475</v>
      </c>
      <c r="H6" s="34" t="s">
        <v>476</v>
      </c>
      <c r="I6" s="34" t="s">
        <v>81</v>
      </c>
      <c r="J6" s="34" t="s">
        <v>477</v>
      </c>
    </row>
    <row r="7" spans="1:10" customFormat="1" ht="18.75" x14ac:dyDescent="0.25">
      <c r="A7" s="79" t="s">
        <v>336</v>
      </c>
      <c r="B7" s="90" t="s">
        <v>104</v>
      </c>
      <c r="C7" s="90" t="s">
        <v>104</v>
      </c>
      <c r="D7" s="90" t="s">
        <v>104</v>
      </c>
      <c r="E7" s="25"/>
      <c r="F7" s="67" t="s">
        <v>104</v>
      </c>
      <c r="G7" s="67" t="s">
        <v>104</v>
      </c>
      <c r="H7" s="67" t="s">
        <v>104</v>
      </c>
      <c r="I7" s="67" t="s">
        <v>104</v>
      </c>
      <c r="J7" s="67" t="s">
        <v>104</v>
      </c>
    </row>
    <row r="8" spans="1:10" ht="18.75" x14ac:dyDescent="0.25">
      <c r="A8" s="59" t="s">
        <v>453</v>
      </c>
      <c r="E8" s="91"/>
    </row>
  </sheetData>
  <hyperlinks>
    <hyperlink ref="F5" location="AAN350_part_relation_to_the_main_device_HELP" display="000050001" xr:uid="{981578E8-0505-4EA2-B967-5626556D4B2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60EB-02A2-468C-9C59-CA80439CAE9D}">
  <dimension ref="A1:J511"/>
  <sheetViews>
    <sheetView workbookViewId="0">
      <selection sqref="A1:XFD1048576"/>
    </sheetView>
  </sheetViews>
  <sheetFormatPr defaultColWidth="11.42578125" defaultRowHeight="15" x14ac:dyDescent="0.25"/>
  <cols>
    <col min="1" max="1" width="63" style="96" bestFit="1" customWidth="1"/>
    <col min="2" max="3" width="60.7109375" customWidth="1"/>
    <col min="9" max="10" width="11.42578125" style="93"/>
  </cols>
  <sheetData>
    <row r="1" spans="1:6" ht="94.5" x14ac:dyDescent="0.5">
      <c r="A1" s="92" t="s">
        <v>478</v>
      </c>
      <c r="B1" s="1"/>
      <c r="C1" s="1"/>
      <c r="D1" s="1"/>
      <c r="E1" s="1"/>
      <c r="F1" s="1"/>
    </row>
    <row r="3" spans="1:6" x14ac:dyDescent="0.25">
      <c r="A3" s="94" t="s">
        <v>479</v>
      </c>
      <c r="B3" s="95" t="s">
        <v>480</v>
      </c>
      <c r="C3" s="95" t="s">
        <v>481</v>
      </c>
    </row>
    <row r="4" spans="1:6" x14ac:dyDescent="0.25">
      <c r="B4" t="s">
        <v>482</v>
      </c>
      <c r="C4" t="s">
        <v>483</v>
      </c>
    </row>
    <row r="5" spans="1:6" x14ac:dyDescent="0.25">
      <c r="B5" s="95" t="s">
        <v>484</v>
      </c>
      <c r="C5" s="95" t="s">
        <v>485</v>
      </c>
    </row>
    <row r="6" spans="1:6" x14ac:dyDescent="0.25">
      <c r="B6" t="s">
        <v>486</v>
      </c>
      <c r="C6" t="s">
        <v>487</v>
      </c>
    </row>
    <row r="7" spans="1:6" x14ac:dyDescent="0.25">
      <c r="B7" s="95" t="s">
        <v>488</v>
      </c>
      <c r="C7" s="95" t="s">
        <v>489</v>
      </c>
    </row>
    <row r="8" spans="1:6" x14ac:dyDescent="0.25">
      <c r="B8" t="s">
        <v>490</v>
      </c>
      <c r="C8" t="s">
        <v>491</v>
      </c>
    </row>
    <row r="9" spans="1:6" x14ac:dyDescent="0.25">
      <c r="B9" s="95" t="s">
        <v>492</v>
      </c>
      <c r="C9" s="95" t="s">
        <v>493</v>
      </c>
    </row>
    <row r="10" spans="1:6" x14ac:dyDescent="0.25">
      <c r="B10" t="s">
        <v>494</v>
      </c>
      <c r="C10" t="s">
        <v>495</v>
      </c>
    </row>
    <row r="11" spans="1:6" x14ac:dyDescent="0.25">
      <c r="B11" s="95" t="s">
        <v>496</v>
      </c>
      <c r="C11" s="95" t="s">
        <v>497</v>
      </c>
    </row>
    <row r="12" spans="1:6" x14ac:dyDescent="0.25">
      <c r="B12" t="s">
        <v>498</v>
      </c>
      <c r="C12" t="s">
        <v>499</v>
      </c>
    </row>
    <row r="13" spans="1:6" x14ac:dyDescent="0.25">
      <c r="B13" s="95" t="s">
        <v>500</v>
      </c>
      <c r="C13" s="95" t="s">
        <v>501</v>
      </c>
    </row>
    <row r="14" spans="1:6" x14ac:dyDescent="0.25">
      <c r="A14" s="96" t="s">
        <v>459</v>
      </c>
      <c r="B14" t="s">
        <v>502</v>
      </c>
      <c r="C14" t="s">
        <v>503</v>
      </c>
    </row>
    <row r="15" spans="1:6" x14ac:dyDescent="0.25">
      <c r="B15" s="95" t="s">
        <v>504</v>
      </c>
      <c r="C15" s="95" t="s">
        <v>505</v>
      </c>
    </row>
    <row r="16" spans="1:6" x14ac:dyDescent="0.25">
      <c r="B16" t="s">
        <v>506</v>
      </c>
      <c r="C16" t="s">
        <v>507</v>
      </c>
    </row>
    <row r="17" spans="1:3" x14ac:dyDescent="0.25">
      <c r="B17" s="95" t="s">
        <v>508</v>
      </c>
      <c r="C17" s="95" t="s">
        <v>509</v>
      </c>
    </row>
    <row r="18" spans="1:3" x14ac:dyDescent="0.25">
      <c r="B18" s="96"/>
      <c r="C18" s="96"/>
    </row>
    <row r="20" spans="1:3" x14ac:dyDescent="0.25">
      <c r="A20" s="94" t="s">
        <v>510</v>
      </c>
      <c r="B20" s="95" t="s">
        <v>511</v>
      </c>
      <c r="C20" s="95" t="s">
        <v>512</v>
      </c>
    </row>
    <row r="21" spans="1:3" x14ac:dyDescent="0.25">
      <c r="B21" t="s">
        <v>513</v>
      </c>
      <c r="C21" t="s">
        <v>514</v>
      </c>
    </row>
    <row r="22" spans="1:3" x14ac:dyDescent="0.25">
      <c r="B22" s="95" t="s">
        <v>515</v>
      </c>
      <c r="C22" s="95" t="s">
        <v>516</v>
      </c>
    </row>
    <row r="23" spans="1:3" x14ac:dyDescent="0.25">
      <c r="B23" t="s">
        <v>517</v>
      </c>
      <c r="C23" t="s">
        <v>518</v>
      </c>
    </row>
    <row r="24" spans="1:3" x14ac:dyDescent="0.25">
      <c r="B24" s="95" t="s">
        <v>519</v>
      </c>
      <c r="C24" s="95" t="s">
        <v>520</v>
      </c>
    </row>
    <row r="25" spans="1:3" x14ac:dyDescent="0.25">
      <c r="B25" t="s">
        <v>521</v>
      </c>
      <c r="C25" t="s">
        <v>522</v>
      </c>
    </row>
    <row r="28" spans="1:3" x14ac:dyDescent="0.25">
      <c r="A28" s="94" t="s">
        <v>193</v>
      </c>
      <c r="B28" s="95" t="s">
        <v>523</v>
      </c>
      <c r="C28" s="95" t="s">
        <v>524</v>
      </c>
    </row>
    <row r="29" spans="1:3" x14ac:dyDescent="0.25">
      <c r="B29" t="s">
        <v>525</v>
      </c>
      <c r="C29" t="s">
        <v>526</v>
      </c>
    </row>
    <row r="30" spans="1:3" x14ac:dyDescent="0.25">
      <c r="B30" s="95" t="s">
        <v>527</v>
      </c>
      <c r="C30" s="95" t="s">
        <v>528</v>
      </c>
    </row>
    <row r="31" spans="1:3" x14ac:dyDescent="0.25">
      <c r="B31" t="s">
        <v>529</v>
      </c>
      <c r="C31" t="s">
        <v>530</v>
      </c>
    </row>
    <row r="32" spans="1:3" x14ac:dyDescent="0.25">
      <c r="B32" s="95" t="s">
        <v>531</v>
      </c>
      <c r="C32" s="95" t="s">
        <v>532</v>
      </c>
    </row>
    <row r="33" spans="2:3" x14ac:dyDescent="0.25">
      <c r="B33" t="s">
        <v>533</v>
      </c>
      <c r="C33" t="s">
        <v>534</v>
      </c>
    </row>
    <row r="34" spans="2:3" x14ac:dyDescent="0.25">
      <c r="B34" s="95" t="s">
        <v>535</v>
      </c>
      <c r="C34" s="95" t="s">
        <v>536</v>
      </c>
    </row>
    <row r="35" spans="2:3" x14ac:dyDescent="0.25">
      <c r="B35" t="s">
        <v>537</v>
      </c>
      <c r="C35" t="s">
        <v>538</v>
      </c>
    </row>
    <row r="36" spans="2:3" x14ac:dyDescent="0.25">
      <c r="B36" s="95" t="s">
        <v>539</v>
      </c>
      <c r="C36" s="95" t="s">
        <v>540</v>
      </c>
    </row>
    <row r="37" spans="2:3" x14ac:dyDescent="0.25">
      <c r="B37" t="s">
        <v>541</v>
      </c>
      <c r="C37" t="s">
        <v>542</v>
      </c>
    </row>
    <row r="38" spans="2:3" x14ac:dyDescent="0.25">
      <c r="B38" s="95" t="s">
        <v>543</v>
      </c>
      <c r="C38" s="95" t="s">
        <v>544</v>
      </c>
    </row>
    <row r="39" spans="2:3" x14ac:dyDescent="0.25">
      <c r="B39" t="s">
        <v>545</v>
      </c>
      <c r="C39" t="s">
        <v>546</v>
      </c>
    </row>
    <row r="40" spans="2:3" x14ac:dyDescent="0.25">
      <c r="B40" s="95" t="s">
        <v>547</v>
      </c>
      <c r="C40" s="95" t="s">
        <v>548</v>
      </c>
    </row>
    <row r="41" spans="2:3" x14ac:dyDescent="0.25">
      <c r="B41" t="s">
        <v>549</v>
      </c>
      <c r="C41" t="s">
        <v>550</v>
      </c>
    </row>
    <row r="42" spans="2:3" x14ac:dyDescent="0.25">
      <c r="B42" s="95" t="s">
        <v>551</v>
      </c>
      <c r="C42" s="95" t="s">
        <v>552</v>
      </c>
    </row>
    <row r="43" spans="2:3" x14ac:dyDescent="0.25">
      <c r="B43" t="s">
        <v>553</v>
      </c>
      <c r="C43" t="s">
        <v>554</v>
      </c>
    </row>
    <row r="44" spans="2:3" x14ac:dyDescent="0.25">
      <c r="B44" s="95" t="s">
        <v>555</v>
      </c>
      <c r="C44" s="95" t="s">
        <v>556</v>
      </c>
    </row>
    <row r="45" spans="2:3" x14ac:dyDescent="0.25">
      <c r="B45" t="s">
        <v>557</v>
      </c>
      <c r="C45" t="s">
        <v>558</v>
      </c>
    </row>
    <row r="46" spans="2:3" x14ac:dyDescent="0.25">
      <c r="B46" s="95" t="s">
        <v>559</v>
      </c>
      <c r="C46" s="95" t="s">
        <v>560</v>
      </c>
    </row>
    <row r="47" spans="2:3" x14ac:dyDescent="0.25">
      <c r="B47" t="s">
        <v>561</v>
      </c>
      <c r="C47" t="s">
        <v>562</v>
      </c>
    </row>
    <row r="48" spans="2:3" x14ac:dyDescent="0.25">
      <c r="B48" s="95" t="s">
        <v>563</v>
      </c>
      <c r="C48" s="95" t="s">
        <v>564</v>
      </c>
    </row>
    <row r="49" spans="2:3" x14ac:dyDescent="0.25">
      <c r="B49" t="s">
        <v>565</v>
      </c>
      <c r="C49" t="s">
        <v>566</v>
      </c>
    </row>
    <row r="50" spans="2:3" x14ac:dyDescent="0.25">
      <c r="B50" s="95" t="s">
        <v>567</v>
      </c>
      <c r="C50" s="95" t="s">
        <v>568</v>
      </c>
    </row>
    <row r="51" spans="2:3" x14ac:dyDescent="0.25">
      <c r="B51" t="s">
        <v>569</v>
      </c>
      <c r="C51" t="s">
        <v>570</v>
      </c>
    </row>
    <row r="52" spans="2:3" x14ac:dyDescent="0.25">
      <c r="B52" s="95" t="s">
        <v>571</v>
      </c>
      <c r="C52" s="95" t="s">
        <v>572</v>
      </c>
    </row>
    <row r="53" spans="2:3" x14ac:dyDescent="0.25">
      <c r="B53" t="s">
        <v>573</v>
      </c>
      <c r="C53" t="s">
        <v>574</v>
      </c>
    </row>
    <row r="54" spans="2:3" x14ac:dyDescent="0.25">
      <c r="B54" s="95" t="s">
        <v>575</v>
      </c>
      <c r="C54" s="95" t="s">
        <v>576</v>
      </c>
    </row>
    <row r="55" spans="2:3" x14ac:dyDescent="0.25">
      <c r="B55" t="s">
        <v>577</v>
      </c>
      <c r="C55" t="s">
        <v>578</v>
      </c>
    </row>
    <row r="56" spans="2:3" x14ac:dyDescent="0.25">
      <c r="B56" s="95" t="s">
        <v>579</v>
      </c>
      <c r="C56" s="95" t="s">
        <v>580</v>
      </c>
    </row>
    <row r="57" spans="2:3" x14ac:dyDescent="0.25">
      <c r="B57" t="s">
        <v>581</v>
      </c>
      <c r="C57" t="s">
        <v>582</v>
      </c>
    </row>
    <row r="58" spans="2:3" x14ac:dyDescent="0.25">
      <c r="B58" s="95" t="s">
        <v>583</v>
      </c>
      <c r="C58" s="95" t="s">
        <v>584</v>
      </c>
    </row>
    <row r="59" spans="2:3" x14ac:dyDescent="0.25">
      <c r="B59" t="s">
        <v>585</v>
      </c>
      <c r="C59" t="s">
        <v>586</v>
      </c>
    </row>
    <row r="60" spans="2:3" x14ac:dyDescent="0.25">
      <c r="B60" s="95" t="s">
        <v>587</v>
      </c>
      <c r="C60" s="95" t="s">
        <v>588</v>
      </c>
    </row>
    <row r="61" spans="2:3" x14ac:dyDescent="0.25">
      <c r="B61" t="s">
        <v>589</v>
      </c>
      <c r="C61" t="s">
        <v>590</v>
      </c>
    </row>
    <row r="62" spans="2:3" x14ac:dyDescent="0.25">
      <c r="B62" s="95" t="s">
        <v>591</v>
      </c>
      <c r="C62" s="95" t="s">
        <v>592</v>
      </c>
    </row>
    <row r="63" spans="2:3" x14ac:dyDescent="0.25">
      <c r="B63" t="s">
        <v>593</v>
      </c>
      <c r="C63" t="s">
        <v>594</v>
      </c>
    </row>
    <row r="64" spans="2:3" x14ac:dyDescent="0.25">
      <c r="B64" s="95" t="s">
        <v>595</v>
      </c>
      <c r="C64" s="95" t="s">
        <v>596</v>
      </c>
    </row>
    <row r="65" spans="2:3" x14ac:dyDescent="0.25">
      <c r="B65" t="s">
        <v>597</v>
      </c>
      <c r="C65" t="s">
        <v>598</v>
      </c>
    </row>
    <row r="66" spans="2:3" x14ac:dyDescent="0.25">
      <c r="B66" s="95" t="s">
        <v>599</v>
      </c>
      <c r="C66" s="95" t="s">
        <v>600</v>
      </c>
    </row>
    <row r="67" spans="2:3" x14ac:dyDescent="0.25">
      <c r="B67" t="s">
        <v>601</v>
      </c>
      <c r="C67" t="s">
        <v>602</v>
      </c>
    </row>
    <row r="68" spans="2:3" x14ac:dyDescent="0.25">
      <c r="B68" s="95" t="s">
        <v>603</v>
      </c>
      <c r="C68" s="95" t="s">
        <v>604</v>
      </c>
    </row>
    <row r="69" spans="2:3" x14ac:dyDescent="0.25">
      <c r="B69" t="s">
        <v>605</v>
      </c>
      <c r="C69" t="s">
        <v>606</v>
      </c>
    </row>
    <row r="70" spans="2:3" x14ac:dyDescent="0.25">
      <c r="B70" s="95" t="s">
        <v>607</v>
      </c>
      <c r="C70" s="95" t="s">
        <v>608</v>
      </c>
    </row>
    <row r="71" spans="2:3" x14ac:dyDescent="0.25">
      <c r="B71" t="s">
        <v>609</v>
      </c>
      <c r="C71" t="s">
        <v>610</v>
      </c>
    </row>
    <row r="72" spans="2:3" x14ac:dyDescent="0.25">
      <c r="B72" s="95" t="s">
        <v>611</v>
      </c>
      <c r="C72" s="95" t="s">
        <v>612</v>
      </c>
    </row>
    <row r="73" spans="2:3" x14ac:dyDescent="0.25">
      <c r="B73" t="s">
        <v>613</v>
      </c>
      <c r="C73" t="s">
        <v>614</v>
      </c>
    </row>
    <row r="74" spans="2:3" x14ac:dyDescent="0.25">
      <c r="B74" s="95" t="s">
        <v>615</v>
      </c>
      <c r="C74" s="95" t="s">
        <v>616</v>
      </c>
    </row>
    <row r="75" spans="2:3" x14ac:dyDescent="0.25">
      <c r="B75" t="s">
        <v>617</v>
      </c>
      <c r="C75" t="s">
        <v>618</v>
      </c>
    </row>
    <row r="76" spans="2:3" x14ac:dyDescent="0.25">
      <c r="B76" s="95" t="s">
        <v>619</v>
      </c>
      <c r="C76" s="95" t="s">
        <v>620</v>
      </c>
    </row>
    <row r="77" spans="2:3" x14ac:dyDescent="0.25">
      <c r="B77" t="s">
        <v>621</v>
      </c>
      <c r="C77" t="s">
        <v>622</v>
      </c>
    </row>
    <row r="78" spans="2:3" x14ac:dyDescent="0.25">
      <c r="B78" s="95" t="s">
        <v>623</v>
      </c>
      <c r="C78" s="95" t="s">
        <v>624</v>
      </c>
    </row>
    <row r="79" spans="2:3" x14ac:dyDescent="0.25">
      <c r="B79" t="s">
        <v>625</v>
      </c>
      <c r="C79" t="s">
        <v>626</v>
      </c>
    </row>
    <row r="80" spans="2:3" x14ac:dyDescent="0.25">
      <c r="B80" s="95" t="s">
        <v>627</v>
      </c>
      <c r="C80" s="95" t="s">
        <v>628</v>
      </c>
    </row>
    <row r="81" spans="2:3" x14ac:dyDescent="0.25">
      <c r="B81" t="s">
        <v>629</v>
      </c>
      <c r="C81" t="s">
        <v>630</v>
      </c>
    </row>
    <row r="82" spans="2:3" x14ac:dyDescent="0.25">
      <c r="B82" s="95" t="s">
        <v>631</v>
      </c>
      <c r="C82" s="95" t="s">
        <v>632</v>
      </c>
    </row>
    <row r="83" spans="2:3" x14ac:dyDescent="0.25">
      <c r="B83" t="s">
        <v>633</v>
      </c>
      <c r="C83" t="s">
        <v>634</v>
      </c>
    </row>
    <row r="84" spans="2:3" x14ac:dyDescent="0.25">
      <c r="B84" s="95" t="s">
        <v>635</v>
      </c>
      <c r="C84" s="95" t="s">
        <v>636</v>
      </c>
    </row>
    <row r="85" spans="2:3" x14ac:dyDescent="0.25">
      <c r="B85" t="s">
        <v>637</v>
      </c>
      <c r="C85" t="s">
        <v>638</v>
      </c>
    </row>
    <row r="86" spans="2:3" x14ac:dyDescent="0.25">
      <c r="B86" s="95" t="s">
        <v>639</v>
      </c>
      <c r="C86" s="95" t="s">
        <v>640</v>
      </c>
    </row>
    <row r="87" spans="2:3" x14ac:dyDescent="0.25">
      <c r="B87" t="s">
        <v>641</v>
      </c>
      <c r="C87" t="s">
        <v>642</v>
      </c>
    </row>
    <row r="88" spans="2:3" x14ac:dyDescent="0.25">
      <c r="B88" s="95" t="s">
        <v>643</v>
      </c>
      <c r="C88" s="95" t="s">
        <v>644</v>
      </c>
    </row>
    <row r="89" spans="2:3" x14ac:dyDescent="0.25">
      <c r="B89" t="s">
        <v>645</v>
      </c>
      <c r="C89" t="s">
        <v>646</v>
      </c>
    </row>
    <row r="90" spans="2:3" x14ac:dyDescent="0.25">
      <c r="B90" s="95" t="s">
        <v>647</v>
      </c>
      <c r="C90" s="95" t="s">
        <v>648</v>
      </c>
    </row>
    <row r="91" spans="2:3" x14ac:dyDescent="0.25">
      <c r="B91" t="s">
        <v>649</v>
      </c>
      <c r="C91" t="s">
        <v>650</v>
      </c>
    </row>
    <row r="92" spans="2:3" x14ac:dyDescent="0.25">
      <c r="B92" s="95" t="s">
        <v>651</v>
      </c>
      <c r="C92" s="95" t="s">
        <v>652</v>
      </c>
    </row>
    <row r="93" spans="2:3" x14ac:dyDescent="0.25">
      <c r="B93" t="s">
        <v>653</v>
      </c>
      <c r="C93" t="s">
        <v>654</v>
      </c>
    </row>
    <row r="94" spans="2:3" x14ac:dyDescent="0.25">
      <c r="B94" s="95" t="s">
        <v>655</v>
      </c>
      <c r="C94" s="95" t="s">
        <v>656</v>
      </c>
    </row>
    <row r="95" spans="2:3" x14ac:dyDescent="0.25">
      <c r="B95" t="s">
        <v>657</v>
      </c>
      <c r="C95" t="s">
        <v>658</v>
      </c>
    </row>
    <row r="96" spans="2:3" x14ac:dyDescent="0.25">
      <c r="B96" s="95" t="s">
        <v>659</v>
      </c>
      <c r="C96" s="95" t="s">
        <v>660</v>
      </c>
    </row>
    <row r="97" spans="1:3" x14ac:dyDescent="0.25">
      <c r="B97" t="s">
        <v>661</v>
      </c>
      <c r="C97" t="s">
        <v>662</v>
      </c>
    </row>
    <row r="100" spans="1:3" x14ac:dyDescent="0.25">
      <c r="A100" s="94" t="s">
        <v>299</v>
      </c>
      <c r="B100" s="95" t="s">
        <v>663</v>
      </c>
      <c r="C100" s="95" t="s">
        <v>664</v>
      </c>
    </row>
    <row r="101" spans="1:3" x14ac:dyDescent="0.25">
      <c r="B101" t="s">
        <v>665</v>
      </c>
      <c r="C101" t="s">
        <v>666</v>
      </c>
    </row>
    <row r="102" spans="1:3" x14ac:dyDescent="0.25">
      <c r="B102" s="95" t="s">
        <v>667</v>
      </c>
      <c r="C102" s="95" t="s">
        <v>668</v>
      </c>
    </row>
    <row r="103" spans="1:3" x14ac:dyDescent="0.25">
      <c r="B103" t="s">
        <v>669</v>
      </c>
      <c r="C103" t="s">
        <v>670</v>
      </c>
    </row>
    <row r="104" spans="1:3" x14ac:dyDescent="0.25">
      <c r="B104" s="95" t="s">
        <v>671</v>
      </c>
      <c r="C104" s="95" t="s">
        <v>671</v>
      </c>
    </row>
    <row r="105" spans="1:3" x14ac:dyDescent="0.25">
      <c r="B105" t="s">
        <v>672</v>
      </c>
      <c r="C105" t="s">
        <v>672</v>
      </c>
    </row>
    <row r="106" spans="1:3" x14ac:dyDescent="0.25">
      <c r="B106" s="95" t="s">
        <v>673</v>
      </c>
      <c r="C106" s="95" t="s">
        <v>673</v>
      </c>
    </row>
    <row r="107" spans="1:3" x14ac:dyDescent="0.25">
      <c r="B107" t="s">
        <v>674</v>
      </c>
      <c r="C107" t="s">
        <v>675</v>
      </c>
    </row>
    <row r="108" spans="1:3" x14ac:dyDescent="0.25">
      <c r="B108" s="95" t="s">
        <v>676</v>
      </c>
      <c r="C108" s="95" t="s">
        <v>677</v>
      </c>
    </row>
    <row r="109" spans="1:3" x14ac:dyDescent="0.25">
      <c r="B109" t="s">
        <v>678</v>
      </c>
      <c r="C109" t="s">
        <v>679</v>
      </c>
    </row>
    <row r="110" spans="1:3" x14ac:dyDescent="0.25">
      <c r="B110" s="95" t="s">
        <v>680</v>
      </c>
      <c r="C110" s="95" t="s">
        <v>681</v>
      </c>
    </row>
    <row r="111" spans="1:3" x14ac:dyDescent="0.25">
      <c r="B111" t="s">
        <v>682</v>
      </c>
      <c r="C111" t="s">
        <v>683</v>
      </c>
    </row>
    <row r="112" spans="1:3" x14ac:dyDescent="0.25">
      <c r="B112" s="95" t="s">
        <v>684</v>
      </c>
      <c r="C112" s="95" t="s">
        <v>685</v>
      </c>
    </row>
    <row r="113" spans="2:3" x14ac:dyDescent="0.25">
      <c r="B113" t="s">
        <v>686</v>
      </c>
      <c r="C113" t="s">
        <v>687</v>
      </c>
    </row>
    <row r="114" spans="2:3" x14ac:dyDescent="0.25">
      <c r="B114" s="95" t="s">
        <v>688</v>
      </c>
      <c r="C114" s="95" t="s">
        <v>689</v>
      </c>
    </row>
    <row r="115" spans="2:3" x14ac:dyDescent="0.25">
      <c r="B115" t="s">
        <v>690</v>
      </c>
      <c r="C115" t="s">
        <v>690</v>
      </c>
    </row>
    <row r="116" spans="2:3" x14ac:dyDescent="0.25">
      <c r="B116" s="95" t="s">
        <v>691</v>
      </c>
      <c r="C116" s="95" t="s">
        <v>692</v>
      </c>
    </row>
    <row r="117" spans="2:3" x14ac:dyDescent="0.25">
      <c r="B117" t="s">
        <v>693</v>
      </c>
      <c r="C117" t="s">
        <v>694</v>
      </c>
    </row>
    <row r="118" spans="2:3" x14ac:dyDescent="0.25">
      <c r="B118" s="95" t="s">
        <v>695</v>
      </c>
      <c r="C118" s="95" t="s">
        <v>696</v>
      </c>
    </row>
    <row r="119" spans="2:3" x14ac:dyDescent="0.25">
      <c r="B119" t="s">
        <v>697</v>
      </c>
      <c r="C119" t="s">
        <v>698</v>
      </c>
    </row>
    <row r="120" spans="2:3" x14ac:dyDescent="0.25">
      <c r="B120" s="95" t="s">
        <v>699</v>
      </c>
      <c r="C120" s="95" t="s">
        <v>700</v>
      </c>
    </row>
    <row r="121" spans="2:3" x14ac:dyDescent="0.25">
      <c r="B121" t="s">
        <v>701</v>
      </c>
      <c r="C121" t="s">
        <v>702</v>
      </c>
    </row>
    <row r="122" spans="2:3" x14ac:dyDescent="0.25">
      <c r="B122" s="95" t="s">
        <v>703</v>
      </c>
      <c r="C122" s="95" t="s">
        <v>704</v>
      </c>
    </row>
    <row r="123" spans="2:3" x14ac:dyDescent="0.25">
      <c r="B123" t="s">
        <v>705</v>
      </c>
      <c r="C123" t="s">
        <v>706</v>
      </c>
    </row>
    <row r="124" spans="2:3" x14ac:dyDescent="0.25">
      <c r="B124" s="95" t="s">
        <v>707</v>
      </c>
      <c r="C124" s="95" t="s">
        <v>708</v>
      </c>
    </row>
    <row r="125" spans="2:3" x14ac:dyDescent="0.25">
      <c r="B125" t="s">
        <v>709</v>
      </c>
      <c r="C125" t="s">
        <v>710</v>
      </c>
    </row>
    <row r="126" spans="2:3" x14ac:dyDescent="0.25">
      <c r="B126" s="95" t="s">
        <v>711</v>
      </c>
      <c r="C126" s="95" t="s">
        <v>712</v>
      </c>
    </row>
    <row r="127" spans="2:3" x14ac:dyDescent="0.25">
      <c r="B127" t="s">
        <v>713</v>
      </c>
      <c r="C127" t="s">
        <v>714</v>
      </c>
    </row>
    <row r="128" spans="2:3" x14ac:dyDescent="0.25">
      <c r="B128" s="95" t="s">
        <v>715</v>
      </c>
      <c r="C128" s="95" t="s">
        <v>716</v>
      </c>
    </row>
    <row r="129" spans="1:3" x14ac:dyDescent="0.25">
      <c r="B129" t="s">
        <v>717</v>
      </c>
      <c r="C129" t="s">
        <v>718</v>
      </c>
    </row>
    <row r="132" spans="1:3" x14ac:dyDescent="0.25">
      <c r="A132" s="94" t="s">
        <v>719</v>
      </c>
      <c r="B132" s="95" t="s">
        <v>720</v>
      </c>
      <c r="C132" s="95" t="s">
        <v>720</v>
      </c>
    </row>
    <row r="133" spans="1:3" x14ac:dyDescent="0.25">
      <c r="B133" t="s">
        <v>721</v>
      </c>
      <c r="C133" t="s">
        <v>721</v>
      </c>
    </row>
    <row r="134" spans="1:3" x14ac:dyDescent="0.25">
      <c r="B134" s="95" t="s">
        <v>722</v>
      </c>
      <c r="C134" s="95" t="s">
        <v>722</v>
      </c>
    </row>
    <row r="135" spans="1:3" x14ac:dyDescent="0.25">
      <c r="B135">
        <v>1</v>
      </c>
      <c r="C135">
        <v>1</v>
      </c>
    </row>
    <row r="136" spans="1:3" x14ac:dyDescent="0.25">
      <c r="B136" s="95">
        <v>2</v>
      </c>
      <c r="C136" s="95">
        <v>2</v>
      </c>
    </row>
    <row r="137" spans="1:3" x14ac:dyDescent="0.25">
      <c r="B137">
        <v>4</v>
      </c>
      <c r="C137">
        <v>4</v>
      </c>
    </row>
    <row r="138" spans="1:3" x14ac:dyDescent="0.25">
      <c r="B138" s="95">
        <v>6</v>
      </c>
      <c r="C138" s="95">
        <v>6</v>
      </c>
    </row>
    <row r="139" spans="1:3" x14ac:dyDescent="0.25">
      <c r="B139">
        <v>8</v>
      </c>
      <c r="C139">
        <v>8</v>
      </c>
    </row>
    <row r="140" spans="1:3" x14ac:dyDescent="0.25">
      <c r="B140" s="95">
        <v>10</v>
      </c>
      <c r="C140" s="95">
        <v>10</v>
      </c>
    </row>
    <row r="141" spans="1:3" x14ac:dyDescent="0.25">
      <c r="B141">
        <v>12</v>
      </c>
      <c r="C141">
        <v>12</v>
      </c>
    </row>
    <row r="142" spans="1:3" x14ac:dyDescent="0.25">
      <c r="B142" s="95">
        <v>14</v>
      </c>
      <c r="C142" s="95">
        <v>14</v>
      </c>
    </row>
    <row r="143" spans="1:3" x14ac:dyDescent="0.25">
      <c r="B143">
        <v>16</v>
      </c>
      <c r="C143">
        <v>16</v>
      </c>
    </row>
    <row r="144" spans="1:3" x14ac:dyDescent="0.25">
      <c r="B144" s="95">
        <v>18</v>
      </c>
      <c r="C144" s="95">
        <v>18</v>
      </c>
    </row>
    <row r="145" spans="2:3" x14ac:dyDescent="0.25">
      <c r="B145">
        <v>20</v>
      </c>
      <c r="C145">
        <v>20</v>
      </c>
    </row>
    <row r="146" spans="2:3" x14ac:dyDescent="0.25">
      <c r="B146" s="95">
        <v>22</v>
      </c>
      <c r="C146" s="95">
        <v>22</v>
      </c>
    </row>
    <row r="147" spans="2:3" x14ac:dyDescent="0.25">
      <c r="B147">
        <v>24</v>
      </c>
      <c r="C147">
        <v>24</v>
      </c>
    </row>
    <row r="148" spans="2:3" x14ac:dyDescent="0.25">
      <c r="B148" s="95">
        <v>26</v>
      </c>
      <c r="C148" s="95">
        <v>26</v>
      </c>
    </row>
    <row r="149" spans="2:3" x14ac:dyDescent="0.25">
      <c r="B149">
        <v>28</v>
      </c>
      <c r="C149">
        <v>28</v>
      </c>
    </row>
    <row r="150" spans="2:3" x14ac:dyDescent="0.25">
      <c r="B150" s="95">
        <v>30</v>
      </c>
      <c r="C150" s="95">
        <v>30</v>
      </c>
    </row>
    <row r="151" spans="2:3" x14ac:dyDescent="0.25">
      <c r="B151">
        <v>32</v>
      </c>
      <c r="C151">
        <v>32</v>
      </c>
    </row>
    <row r="152" spans="2:3" x14ac:dyDescent="0.25">
      <c r="B152" s="95">
        <v>34</v>
      </c>
      <c r="C152" s="95">
        <v>34</v>
      </c>
    </row>
    <row r="153" spans="2:3" x14ac:dyDescent="0.25">
      <c r="B153">
        <v>36</v>
      </c>
      <c r="C153">
        <v>36</v>
      </c>
    </row>
    <row r="154" spans="2:3" x14ac:dyDescent="0.25">
      <c r="B154" s="95">
        <v>38</v>
      </c>
      <c r="C154" s="95">
        <v>38</v>
      </c>
    </row>
    <row r="155" spans="2:3" x14ac:dyDescent="0.25">
      <c r="B155">
        <v>40</v>
      </c>
      <c r="C155">
        <v>40</v>
      </c>
    </row>
    <row r="156" spans="2:3" x14ac:dyDescent="0.25">
      <c r="B156" s="95">
        <v>42</v>
      </c>
      <c r="C156" s="95">
        <v>42</v>
      </c>
    </row>
    <row r="157" spans="2:3" x14ac:dyDescent="0.25">
      <c r="B157">
        <v>44</v>
      </c>
      <c r="C157">
        <v>44</v>
      </c>
    </row>
    <row r="158" spans="2:3" x14ac:dyDescent="0.25">
      <c r="B158" s="95">
        <v>250</v>
      </c>
      <c r="C158" s="95">
        <v>250</v>
      </c>
    </row>
    <row r="159" spans="2:3" x14ac:dyDescent="0.25">
      <c r="B159">
        <v>350</v>
      </c>
      <c r="C159">
        <v>350</v>
      </c>
    </row>
    <row r="160" spans="2:3" x14ac:dyDescent="0.25">
      <c r="B160" s="95">
        <v>500</v>
      </c>
      <c r="C160" s="95">
        <v>500</v>
      </c>
    </row>
    <row r="161" spans="1:3" x14ac:dyDescent="0.25">
      <c r="B161" t="s">
        <v>723</v>
      </c>
      <c r="C161" t="s">
        <v>723</v>
      </c>
    </row>
    <row r="162" spans="1:3" x14ac:dyDescent="0.25">
      <c r="B162" s="95">
        <v>1000</v>
      </c>
      <c r="C162" s="95">
        <v>1000</v>
      </c>
    </row>
    <row r="163" spans="1:3" x14ac:dyDescent="0.25">
      <c r="B163">
        <v>900</v>
      </c>
      <c r="C163">
        <v>900</v>
      </c>
    </row>
    <row r="164" spans="1:3" x14ac:dyDescent="0.25">
      <c r="B164" s="95">
        <v>550</v>
      </c>
      <c r="C164" s="95">
        <v>550</v>
      </c>
    </row>
    <row r="165" spans="1:3" x14ac:dyDescent="0.25">
      <c r="B165">
        <v>600</v>
      </c>
      <c r="C165">
        <v>600</v>
      </c>
    </row>
    <row r="166" spans="1:3" x14ac:dyDescent="0.25">
      <c r="B166" s="95">
        <v>750</v>
      </c>
      <c r="C166" s="95">
        <v>750</v>
      </c>
    </row>
    <row r="167" spans="1:3" x14ac:dyDescent="0.25">
      <c r="B167">
        <v>300</v>
      </c>
      <c r="C167">
        <v>300</v>
      </c>
    </row>
    <row r="170" spans="1:3" x14ac:dyDescent="0.25">
      <c r="A170" s="94" t="s">
        <v>724</v>
      </c>
      <c r="B170" s="95" t="s">
        <v>720</v>
      </c>
      <c r="C170" s="95" t="s">
        <v>720</v>
      </c>
    </row>
    <row r="171" spans="1:3" x14ac:dyDescent="0.25">
      <c r="B171" t="s">
        <v>721</v>
      </c>
      <c r="C171" t="s">
        <v>721</v>
      </c>
    </row>
    <row r="172" spans="1:3" x14ac:dyDescent="0.25">
      <c r="B172" s="95" t="s">
        <v>722</v>
      </c>
      <c r="C172" s="95" t="s">
        <v>722</v>
      </c>
    </row>
    <row r="173" spans="1:3" x14ac:dyDescent="0.25">
      <c r="B173">
        <v>1</v>
      </c>
      <c r="C173">
        <v>1</v>
      </c>
    </row>
    <row r="174" spans="1:3" x14ac:dyDescent="0.25">
      <c r="B174" s="95">
        <v>2</v>
      </c>
      <c r="C174" s="95">
        <v>2</v>
      </c>
    </row>
    <row r="175" spans="1:3" x14ac:dyDescent="0.25">
      <c r="B175">
        <v>4</v>
      </c>
      <c r="C175">
        <v>4</v>
      </c>
    </row>
    <row r="176" spans="1:3" x14ac:dyDescent="0.25">
      <c r="B176" s="95">
        <v>6</v>
      </c>
      <c r="C176" s="95">
        <v>6</v>
      </c>
    </row>
    <row r="177" spans="2:3" x14ac:dyDescent="0.25">
      <c r="B177">
        <v>8</v>
      </c>
      <c r="C177">
        <v>8</v>
      </c>
    </row>
    <row r="178" spans="2:3" x14ac:dyDescent="0.25">
      <c r="B178" s="95">
        <v>10</v>
      </c>
      <c r="C178" s="95">
        <v>10</v>
      </c>
    </row>
    <row r="179" spans="2:3" x14ac:dyDescent="0.25">
      <c r="B179">
        <v>12</v>
      </c>
      <c r="C179">
        <v>12</v>
      </c>
    </row>
    <row r="180" spans="2:3" x14ac:dyDescent="0.25">
      <c r="B180" s="95">
        <v>14</v>
      </c>
      <c r="C180" s="95">
        <v>14</v>
      </c>
    </row>
    <row r="181" spans="2:3" x14ac:dyDescent="0.25">
      <c r="B181">
        <v>16</v>
      </c>
      <c r="C181">
        <v>16</v>
      </c>
    </row>
    <row r="182" spans="2:3" x14ac:dyDescent="0.25">
      <c r="B182" s="95">
        <v>18</v>
      </c>
      <c r="C182" s="95">
        <v>18</v>
      </c>
    </row>
    <row r="183" spans="2:3" x14ac:dyDescent="0.25">
      <c r="B183">
        <v>20</v>
      </c>
      <c r="C183">
        <v>20</v>
      </c>
    </row>
    <row r="184" spans="2:3" x14ac:dyDescent="0.25">
      <c r="B184" s="95">
        <v>22</v>
      </c>
      <c r="C184" s="95">
        <v>22</v>
      </c>
    </row>
    <row r="185" spans="2:3" x14ac:dyDescent="0.25">
      <c r="B185">
        <v>24</v>
      </c>
      <c r="C185">
        <v>24</v>
      </c>
    </row>
    <row r="186" spans="2:3" x14ac:dyDescent="0.25">
      <c r="B186" s="95">
        <v>26</v>
      </c>
      <c r="C186" s="95">
        <v>26</v>
      </c>
    </row>
    <row r="187" spans="2:3" x14ac:dyDescent="0.25">
      <c r="B187">
        <v>28</v>
      </c>
      <c r="C187">
        <v>28</v>
      </c>
    </row>
    <row r="188" spans="2:3" x14ac:dyDescent="0.25">
      <c r="B188" s="95">
        <v>30</v>
      </c>
      <c r="C188" s="95">
        <v>30</v>
      </c>
    </row>
    <row r="189" spans="2:3" x14ac:dyDescent="0.25">
      <c r="B189">
        <v>32</v>
      </c>
      <c r="C189">
        <v>32</v>
      </c>
    </row>
    <row r="190" spans="2:3" x14ac:dyDescent="0.25">
      <c r="B190" s="95">
        <v>34</v>
      </c>
      <c r="C190" s="95">
        <v>34</v>
      </c>
    </row>
    <row r="191" spans="2:3" x14ac:dyDescent="0.25">
      <c r="B191">
        <v>36</v>
      </c>
      <c r="C191">
        <v>36</v>
      </c>
    </row>
    <row r="192" spans="2:3" x14ac:dyDescent="0.25">
      <c r="B192" s="95">
        <v>38</v>
      </c>
      <c r="C192" s="95">
        <v>38</v>
      </c>
    </row>
    <row r="193" spans="1:3" x14ac:dyDescent="0.25">
      <c r="B193">
        <v>40</v>
      </c>
      <c r="C193">
        <v>40</v>
      </c>
    </row>
    <row r="194" spans="1:3" x14ac:dyDescent="0.25">
      <c r="B194" s="95">
        <v>42</v>
      </c>
      <c r="C194" s="95">
        <v>42</v>
      </c>
    </row>
    <row r="195" spans="1:3" x14ac:dyDescent="0.25">
      <c r="B195">
        <v>44</v>
      </c>
      <c r="C195">
        <v>44</v>
      </c>
    </row>
    <row r="196" spans="1:3" x14ac:dyDescent="0.25">
      <c r="B196" s="95">
        <v>250</v>
      </c>
      <c r="C196" s="95">
        <v>250</v>
      </c>
    </row>
    <row r="197" spans="1:3" x14ac:dyDescent="0.25">
      <c r="B197">
        <v>350</v>
      </c>
      <c r="C197">
        <v>350</v>
      </c>
    </row>
    <row r="198" spans="1:3" x14ac:dyDescent="0.25">
      <c r="B198" s="95">
        <v>500</v>
      </c>
      <c r="C198" s="95">
        <v>500</v>
      </c>
    </row>
    <row r="199" spans="1:3" x14ac:dyDescent="0.25">
      <c r="B199" t="s">
        <v>723</v>
      </c>
      <c r="C199" t="s">
        <v>723</v>
      </c>
    </row>
    <row r="200" spans="1:3" x14ac:dyDescent="0.25">
      <c r="B200" s="95">
        <v>1000</v>
      </c>
      <c r="C200" s="95">
        <v>1000</v>
      </c>
    </row>
    <row r="201" spans="1:3" x14ac:dyDescent="0.25">
      <c r="B201">
        <v>900</v>
      </c>
      <c r="C201">
        <v>900</v>
      </c>
    </row>
    <row r="202" spans="1:3" x14ac:dyDescent="0.25">
      <c r="B202" s="95">
        <v>550</v>
      </c>
      <c r="C202" s="95">
        <v>550</v>
      </c>
    </row>
    <row r="203" spans="1:3" x14ac:dyDescent="0.25">
      <c r="B203">
        <v>600</v>
      </c>
      <c r="C203">
        <v>600</v>
      </c>
    </row>
    <row r="204" spans="1:3" x14ac:dyDescent="0.25">
      <c r="B204" s="95">
        <v>750</v>
      </c>
      <c r="C204" s="95">
        <v>750</v>
      </c>
    </row>
    <row r="205" spans="1:3" x14ac:dyDescent="0.25">
      <c r="B205">
        <v>300</v>
      </c>
      <c r="C205">
        <v>300</v>
      </c>
    </row>
    <row r="208" spans="1:3" x14ac:dyDescent="0.25">
      <c r="A208" s="94" t="s">
        <v>725</v>
      </c>
      <c r="B208" s="95" t="s">
        <v>726</v>
      </c>
      <c r="C208" s="95" t="s">
        <v>727</v>
      </c>
    </row>
    <row r="209" spans="1:3" x14ac:dyDescent="0.25">
      <c r="B209" t="s">
        <v>728</v>
      </c>
      <c r="C209" t="s">
        <v>729</v>
      </c>
    </row>
    <row r="210" spans="1:3" x14ac:dyDescent="0.25">
      <c r="B210" s="95" t="s">
        <v>730</v>
      </c>
      <c r="C210" s="95" t="s">
        <v>731</v>
      </c>
    </row>
    <row r="212" spans="1:3" x14ac:dyDescent="0.25">
      <c r="A212" s="97" t="s">
        <v>732</v>
      </c>
      <c r="B212" s="95" t="s">
        <v>733</v>
      </c>
      <c r="C212" s="95" t="s">
        <v>734</v>
      </c>
    </row>
    <row r="213" spans="1:3" x14ac:dyDescent="0.25">
      <c r="A213"/>
      <c r="B213" t="s">
        <v>735</v>
      </c>
      <c r="C213" t="s">
        <v>736</v>
      </c>
    </row>
    <row r="214" spans="1:3" x14ac:dyDescent="0.25">
      <c r="B214" s="95" t="s">
        <v>737</v>
      </c>
      <c r="C214" s="95" t="s">
        <v>738</v>
      </c>
    </row>
    <row r="215" spans="1:3" x14ac:dyDescent="0.25">
      <c r="B215" t="s">
        <v>739</v>
      </c>
      <c r="C215" t="s">
        <v>739</v>
      </c>
    </row>
    <row r="218" spans="1:3" x14ac:dyDescent="0.25">
      <c r="B218" s="98" t="s">
        <v>740</v>
      </c>
      <c r="C218" s="99" t="s">
        <v>741</v>
      </c>
    </row>
    <row r="219" spans="1:3" x14ac:dyDescent="0.25">
      <c r="A219" s="94" t="s">
        <v>742</v>
      </c>
      <c r="B219" s="100" t="s">
        <v>743</v>
      </c>
      <c r="C219" s="101" t="s">
        <v>744</v>
      </c>
    </row>
    <row r="220" spans="1:3" x14ac:dyDescent="0.25">
      <c r="B220" s="98" t="s">
        <v>745</v>
      </c>
      <c r="C220" s="99" t="s">
        <v>745</v>
      </c>
    </row>
    <row r="221" spans="1:3" x14ac:dyDescent="0.25">
      <c r="B221" s="100" t="s">
        <v>746</v>
      </c>
      <c r="C221" s="101" t="s">
        <v>746</v>
      </c>
    </row>
    <row r="222" spans="1:3" x14ac:dyDescent="0.25">
      <c r="B222" s="98" t="s">
        <v>747</v>
      </c>
      <c r="C222" s="99" t="s">
        <v>747</v>
      </c>
    </row>
    <row r="223" spans="1:3" x14ac:dyDescent="0.25">
      <c r="B223" s="100" t="s">
        <v>748</v>
      </c>
      <c r="C223" s="101" t="s">
        <v>748</v>
      </c>
    </row>
    <row r="224" spans="1:3" x14ac:dyDescent="0.25">
      <c r="B224" s="98" t="s">
        <v>749</v>
      </c>
      <c r="C224" s="99" t="s">
        <v>750</v>
      </c>
    </row>
    <row r="225" spans="2:3" x14ac:dyDescent="0.25">
      <c r="B225" s="100" t="s">
        <v>751</v>
      </c>
      <c r="C225" s="101" t="s">
        <v>752</v>
      </c>
    </row>
    <row r="226" spans="2:3" x14ac:dyDescent="0.25">
      <c r="B226" s="98" t="s">
        <v>753</v>
      </c>
      <c r="C226" s="99" t="s">
        <v>754</v>
      </c>
    </row>
    <row r="227" spans="2:3" x14ac:dyDescent="0.25">
      <c r="B227" s="100" t="s">
        <v>755</v>
      </c>
      <c r="C227" s="101" t="s">
        <v>756</v>
      </c>
    </row>
    <row r="228" spans="2:3" x14ac:dyDescent="0.25">
      <c r="B228" s="98" t="s">
        <v>757</v>
      </c>
      <c r="C228" s="99" t="s">
        <v>758</v>
      </c>
    </row>
    <row r="229" spans="2:3" x14ac:dyDescent="0.25">
      <c r="B229" s="100" t="s">
        <v>759</v>
      </c>
      <c r="C229" s="101" t="s">
        <v>760</v>
      </c>
    </row>
    <row r="230" spans="2:3" x14ac:dyDescent="0.25">
      <c r="B230" s="98" t="s">
        <v>761</v>
      </c>
      <c r="C230" s="99" t="s">
        <v>762</v>
      </c>
    </row>
    <row r="231" spans="2:3" x14ac:dyDescent="0.25">
      <c r="B231" s="100" t="s">
        <v>763</v>
      </c>
      <c r="C231" s="101" t="s">
        <v>763</v>
      </c>
    </row>
    <row r="232" spans="2:3" x14ac:dyDescent="0.25">
      <c r="B232" s="98" t="s">
        <v>764</v>
      </c>
      <c r="C232" s="99" t="s">
        <v>765</v>
      </c>
    </row>
    <row r="233" spans="2:3" x14ac:dyDescent="0.25">
      <c r="B233" s="100" t="s">
        <v>766</v>
      </c>
      <c r="C233" s="101" t="s">
        <v>766</v>
      </c>
    </row>
    <row r="234" spans="2:3" x14ac:dyDescent="0.25">
      <c r="B234" s="98" t="s">
        <v>767</v>
      </c>
      <c r="C234" s="99" t="s">
        <v>768</v>
      </c>
    </row>
    <row r="235" spans="2:3" x14ac:dyDescent="0.25">
      <c r="B235" s="100" t="s">
        <v>769</v>
      </c>
      <c r="C235" s="101" t="s">
        <v>770</v>
      </c>
    </row>
    <row r="236" spans="2:3" x14ac:dyDescent="0.25">
      <c r="B236" s="98" t="s">
        <v>771</v>
      </c>
      <c r="C236" s="99" t="s">
        <v>772</v>
      </c>
    </row>
    <row r="237" spans="2:3" x14ac:dyDescent="0.25">
      <c r="B237" s="100" t="s">
        <v>773</v>
      </c>
      <c r="C237" s="101" t="s">
        <v>773</v>
      </c>
    </row>
    <row r="238" spans="2:3" x14ac:dyDescent="0.25">
      <c r="B238" s="98" t="s">
        <v>774</v>
      </c>
      <c r="C238" s="99" t="s">
        <v>775</v>
      </c>
    </row>
    <row r="239" spans="2:3" x14ac:dyDescent="0.25">
      <c r="B239" s="100" t="s">
        <v>776</v>
      </c>
      <c r="C239" s="101" t="s">
        <v>777</v>
      </c>
    </row>
    <row r="240" spans="2:3" x14ac:dyDescent="0.25">
      <c r="B240" s="98" t="s">
        <v>778</v>
      </c>
      <c r="C240" s="99" t="s">
        <v>778</v>
      </c>
    </row>
    <row r="241" spans="2:3" x14ac:dyDescent="0.25">
      <c r="B241" s="100" t="s">
        <v>779</v>
      </c>
      <c r="C241" s="101" t="s">
        <v>780</v>
      </c>
    </row>
    <row r="242" spans="2:3" x14ac:dyDescent="0.25">
      <c r="B242" s="98" t="s">
        <v>781</v>
      </c>
      <c r="C242" s="99" t="s">
        <v>782</v>
      </c>
    </row>
    <row r="243" spans="2:3" x14ac:dyDescent="0.25">
      <c r="B243" s="100" t="s">
        <v>783</v>
      </c>
      <c r="C243" s="101" t="s">
        <v>784</v>
      </c>
    </row>
    <row r="244" spans="2:3" x14ac:dyDescent="0.25">
      <c r="B244" s="98" t="s">
        <v>785</v>
      </c>
      <c r="C244" s="99" t="s">
        <v>786</v>
      </c>
    </row>
    <row r="245" spans="2:3" x14ac:dyDescent="0.25">
      <c r="B245" s="100" t="s">
        <v>787</v>
      </c>
      <c r="C245" s="101" t="s">
        <v>788</v>
      </c>
    </row>
    <row r="246" spans="2:3" x14ac:dyDescent="0.25">
      <c r="B246" s="98" t="s">
        <v>789</v>
      </c>
      <c r="C246" s="99" t="s">
        <v>790</v>
      </c>
    </row>
    <row r="247" spans="2:3" x14ac:dyDescent="0.25">
      <c r="B247" s="100" t="s">
        <v>791</v>
      </c>
      <c r="C247" s="101" t="s">
        <v>792</v>
      </c>
    </row>
    <row r="248" spans="2:3" x14ac:dyDescent="0.25">
      <c r="B248" s="98" t="s">
        <v>793</v>
      </c>
      <c r="C248" s="99" t="s">
        <v>794</v>
      </c>
    </row>
    <row r="249" spans="2:3" x14ac:dyDescent="0.25">
      <c r="B249" s="100" t="s">
        <v>795</v>
      </c>
      <c r="C249" s="101" t="s">
        <v>796</v>
      </c>
    </row>
    <row r="250" spans="2:3" x14ac:dyDescent="0.25">
      <c r="B250" s="98" t="s">
        <v>797</v>
      </c>
      <c r="C250" s="99" t="s">
        <v>798</v>
      </c>
    </row>
    <row r="251" spans="2:3" x14ac:dyDescent="0.25">
      <c r="B251" s="100" t="s">
        <v>799</v>
      </c>
      <c r="C251" s="101" t="s">
        <v>800</v>
      </c>
    </row>
    <row r="252" spans="2:3" x14ac:dyDescent="0.25">
      <c r="B252" s="98" t="s">
        <v>801</v>
      </c>
      <c r="C252" s="99" t="s">
        <v>802</v>
      </c>
    </row>
    <row r="253" spans="2:3" x14ac:dyDescent="0.25">
      <c r="B253" s="100" t="s">
        <v>803</v>
      </c>
      <c r="C253" s="101" t="s">
        <v>804</v>
      </c>
    </row>
    <row r="254" spans="2:3" x14ac:dyDescent="0.25">
      <c r="B254" s="98" t="s">
        <v>805</v>
      </c>
      <c r="C254" s="99" t="s">
        <v>806</v>
      </c>
    </row>
    <row r="255" spans="2:3" x14ac:dyDescent="0.25">
      <c r="B255" s="100" t="s">
        <v>807</v>
      </c>
      <c r="C255" s="101" t="s">
        <v>807</v>
      </c>
    </row>
    <row r="256" spans="2:3" x14ac:dyDescent="0.25">
      <c r="B256" s="98" t="s">
        <v>808</v>
      </c>
      <c r="C256" s="99" t="s">
        <v>809</v>
      </c>
    </row>
    <row r="257" spans="2:3" x14ac:dyDescent="0.25">
      <c r="B257" s="100" t="s">
        <v>810</v>
      </c>
      <c r="C257" s="101" t="s">
        <v>811</v>
      </c>
    </row>
    <row r="258" spans="2:3" x14ac:dyDescent="0.25">
      <c r="B258" s="98" t="s">
        <v>812</v>
      </c>
      <c r="C258" s="99" t="s">
        <v>813</v>
      </c>
    </row>
    <row r="259" spans="2:3" x14ac:dyDescent="0.25">
      <c r="B259" s="100" t="s">
        <v>814</v>
      </c>
      <c r="C259" s="101" t="s">
        <v>815</v>
      </c>
    </row>
    <row r="260" spans="2:3" x14ac:dyDescent="0.25">
      <c r="B260" s="98" t="s">
        <v>816</v>
      </c>
      <c r="C260" s="99" t="s">
        <v>817</v>
      </c>
    </row>
    <row r="261" spans="2:3" x14ac:dyDescent="0.25">
      <c r="B261" s="100" t="s">
        <v>818</v>
      </c>
      <c r="C261" s="101" t="s">
        <v>819</v>
      </c>
    </row>
    <row r="262" spans="2:3" x14ac:dyDescent="0.25">
      <c r="B262" s="98" t="s">
        <v>820</v>
      </c>
      <c r="C262" s="99" t="s">
        <v>821</v>
      </c>
    </row>
    <row r="263" spans="2:3" x14ac:dyDescent="0.25">
      <c r="B263" s="100" t="s">
        <v>822</v>
      </c>
      <c r="C263" s="101" t="s">
        <v>822</v>
      </c>
    </row>
    <row r="264" spans="2:3" x14ac:dyDescent="0.25">
      <c r="B264" s="98" t="s">
        <v>823</v>
      </c>
      <c r="C264" s="99" t="s">
        <v>823</v>
      </c>
    </row>
    <row r="265" spans="2:3" x14ac:dyDescent="0.25">
      <c r="B265" s="100" t="s">
        <v>824</v>
      </c>
      <c r="C265" s="101" t="s">
        <v>825</v>
      </c>
    </row>
    <row r="266" spans="2:3" x14ac:dyDescent="0.25">
      <c r="B266" s="98" t="s">
        <v>826</v>
      </c>
      <c r="C266" s="99" t="s">
        <v>827</v>
      </c>
    </row>
    <row r="267" spans="2:3" x14ac:dyDescent="0.25">
      <c r="B267" s="100" t="s">
        <v>828</v>
      </c>
      <c r="C267" s="101" t="s">
        <v>829</v>
      </c>
    </row>
    <row r="268" spans="2:3" x14ac:dyDescent="0.25">
      <c r="B268" s="98" t="s">
        <v>830</v>
      </c>
      <c r="C268" s="99" t="s">
        <v>830</v>
      </c>
    </row>
    <row r="269" spans="2:3" x14ac:dyDescent="0.25">
      <c r="B269" s="100" t="s">
        <v>831</v>
      </c>
      <c r="C269" s="101" t="s">
        <v>832</v>
      </c>
    </row>
    <row r="270" spans="2:3" x14ac:dyDescent="0.25">
      <c r="B270" s="98" t="s">
        <v>833</v>
      </c>
      <c r="C270" s="99" t="s">
        <v>834</v>
      </c>
    </row>
    <row r="271" spans="2:3" x14ac:dyDescent="0.25">
      <c r="B271" s="100" t="s">
        <v>835</v>
      </c>
      <c r="C271" s="101" t="s">
        <v>836</v>
      </c>
    </row>
    <row r="272" spans="2:3" x14ac:dyDescent="0.25">
      <c r="B272" s="98" t="s">
        <v>837</v>
      </c>
      <c r="C272" s="99" t="s">
        <v>837</v>
      </c>
    </row>
    <row r="273" spans="1:3" x14ac:dyDescent="0.25">
      <c r="B273" s="100" t="s">
        <v>838</v>
      </c>
      <c r="C273" s="101" t="s">
        <v>839</v>
      </c>
    </row>
    <row r="274" spans="1:3" x14ac:dyDescent="0.25">
      <c r="B274" s="98" t="s">
        <v>840</v>
      </c>
      <c r="C274" s="99" t="s">
        <v>841</v>
      </c>
    </row>
    <row r="275" spans="1:3" x14ac:dyDescent="0.25">
      <c r="B275" s="100" t="s">
        <v>842</v>
      </c>
      <c r="C275" s="101" t="s">
        <v>843</v>
      </c>
    </row>
    <row r="276" spans="1:3" x14ac:dyDescent="0.25">
      <c r="B276" s="98" t="s">
        <v>844</v>
      </c>
      <c r="C276" s="99" t="s">
        <v>845</v>
      </c>
    </row>
    <row r="277" spans="1:3" x14ac:dyDescent="0.25">
      <c r="B277" s="100" t="s">
        <v>846</v>
      </c>
      <c r="C277" s="101" t="s">
        <v>846</v>
      </c>
    </row>
    <row r="278" spans="1:3" x14ac:dyDescent="0.25">
      <c r="B278" s="98" t="s">
        <v>847</v>
      </c>
      <c r="C278" s="99" t="s">
        <v>847</v>
      </c>
    </row>
    <row r="279" spans="1:3" x14ac:dyDescent="0.25">
      <c r="B279" s="100"/>
      <c r="C279" s="101"/>
    </row>
    <row r="281" spans="1:3" x14ac:dyDescent="0.25">
      <c r="B281" s="100" t="s">
        <v>848</v>
      </c>
      <c r="C281" s="100" t="s">
        <v>849</v>
      </c>
    </row>
    <row r="282" spans="1:3" x14ac:dyDescent="0.25">
      <c r="A282" s="94" t="s">
        <v>850</v>
      </c>
      <c r="B282" s="98" t="s">
        <v>851</v>
      </c>
      <c r="C282" s="98" t="s">
        <v>851</v>
      </c>
    </row>
    <row r="283" spans="1:3" x14ac:dyDescent="0.25">
      <c r="B283" s="100" t="s">
        <v>852</v>
      </c>
      <c r="C283" s="100" t="s">
        <v>852</v>
      </c>
    </row>
    <row r="284" spans="1:3" x14ac:dyDescent="0.25">
      <c r="B284" s="98" t="s">
        <v>853</v>
      </c>
      <c r="C284" s="98" t="s">
        <v>853</v>
      </c>
    </row>
    <row r="285" spans="1:3" x14ac:dyDescent="0.25">
      <c r="B285" s="100" t="s">
        <v>854</v>
      </c>
      <c r="C285" s="100" t="s">
        <v>854</v>
      </c>
    </row>
    <row r="286" spans="1:3" x14ac:dyDescent="0.25">
      <c r="B286" s="98" t="s">
        <v>855</v>
      </c>
      <c r="C286" s="98" t="s">
        <v>855</v>
      </c>
    </row>
    <row r="287" spans="1:3" x14ac:dyDescent="0.25">
      <c r="B287" s="100" t="s">
        <v>856</v>
      </c>
      <c r="C287" s="100" t="s">
        <v>856</v>
      </c>
    </row>
    <row r="288" spans="1:3" x14ac:dyDescent="0.25">
      <c r="B288" s="98" t="s">
        <v>857</v>
      </c>
      <c r="C288" s="98" t="s">
        <v>857</v>
      </c>
    </row>
    <row r="289" spans="1:3" x14ac:dyDescent="0.25">
      <c r="B289" s="100" t="s">
        <v>858</v>
      </c>
      <c r="C289" s="100" t="s">
        <v>858</v>
      </c>
    </row>
    <row r="291" spans="1:3" x14ac:dyDescent="0.25">
      <c r="B291" s="100" t="s">
        <v>859</v>
      </c>
      <c r="C291" s="100" t="s">
        <v>859</v>
      </c>
    </row>
    <row r="292" spans="1:3" x14ac:dyDescent="0.25">
      <c r="A292" s="94" t="s">
        <v>860</v>
      </c>
      <c r="B292" s="98" t="s">
        <v>861</v>
      </c>
      <c r="C292" s="98" t="s">
        <v>861</v>
      </c>
    </row>
    <row r="293" spans="1:3" x14ac:dyDescent="0.25">
      <c r="B293" s="100" t="s">
        <v>862</v>
      </c>
      <c r="C293" s="100" t="s">
        <v>862</v>
      </c>
    </row>
    <row r="294" spans="1:3" x14ac:dyDescent="0.25">
      <c r="B294" s="98" t="s">
        <v>863</v>
      </c>
      <c r="C294" s="98" t="s">
        <v>863</v>
      </c>
    </row>
    <row r="295" spans="1:3" x14ac:dyDescent="0.25">
      <c r="B295" s="100" t="s">
        <v>864</v>
      </c>
      <c r="C295" s="100" t="s">
        <v>864</v>
      </c>
    </row>
    <row r="296" spans="1:3" x14ac:dyDescent="0.25">
      <c r="B296" s="98" t="s">
        <v>865</v>
      </c>
      <c r="C296" s="98" t="s">
        <v>865</v>
      </c>
    </row>
    <row r="297" spans="1:3" x14ac:dyDescent="0.25">
      <c r="B297" s="100" t="s">
        <v>866</v>
      </c>
      <c r="C297" s="100" t="s">
        <v>866</v>
      </c>
    </row>
    <row r="301" spans="1:3" x14ac:dyDescent="0.25">
      <c r="B301" s="98" t="s">
        <v>867</v>
      </c>
    </row>
    <row r="302" spans="1:3" x14ac:dyDescent="0.25">
      <c r="A302" s="94" t="s">
        <v>212</v>
      </c>
      <c r="B302" s="100" t="s">
        <v>868</v>
      </c>
    </row>
    <row r="303" spans="1:3" x14ac:dyDescent="0.25">
      <c r="B303" s="98" t="s">
        <v>869</v>
      </c>
    </row>
    <row r="304" spans="1:3" x14ac:dyDescent="0.25">
      <c r="B304" s="100" t="s">
        <v>870</v>
      </c>
    </row>
    <row r="305" spans="2:2" x14ac:dyDescent="0.25">
      <c r="B305" s="98" t="s">
        <v>871</v>
      </c>
    </row>
    <row r="306" spans="2:2" x14ac:dyDescent="0.25">
      <c r="B306" s="100" t="s">
        <v>872</v>
      </c>
    </row>
    <row r="307" spans="2:2" x14ac:dyDescent="0.25">
      <c r="B307" s="98" t="s">
        <v>873</v>
      </c>
    </row>
    <row r="308" spans="2:2" x14ac:dyDescent="0.25">
      <c r="B308" s="100" t="s">
        <v>874</v>
      </c>
    </row>
    <row r="309" spans="2:2" x14ac:dyDescent="0.25">
      <c r="B309" s="98" t="s">
        <v>875</v>
      </c>
    </row>
    <row r="310" spans="2:2" x14ac:dyDescent="0.25">
      <c r="B310" s="100" t="s">
        <v>876</v>
      </c>
    </row>
    <row r="311" spans="2:2" x14ac:dyDescent="0.25">
      <c r="B311" s="98" t="s">
        <v>877</v>
      </c>
    </row>
    <row r="312" spans="2:2" x14ac:dyDescent="0.25">
      <c r="B312" s="100" t="s">
        <v>878</v>
      </c>
    </row>
    <row r="313" spans="2:2" x14ac:dyDescent="0.25">
      <c r="B313" s="98" t="s">
        <v>879</v>
      </c>
    </row>
    <row r="314" spans="2:2" x14ac:dyDescent="0.25">
      <c r="B314" s="100" t="s">
        <v>880</v>
      </c>
    </row>
    <row r="315" spans="2:2" x14ac:dyDescent="0.25">
      <c r="B315" s="98" t="s">
        <v>881</v>
      </c>
    </row>
    <row r="316" spans="2:2" x14ac:dyDescent="0.25">
      <c r="B316" s="100" t="s">
        <v>882</v>
      </c>
    </row>
    <row r="317" spans="2:2" x14ac:dyDescent="0.25">
      <c r="B317" s="98" t="s">
        <v>883</v>
      </c>
    </row>
    <row r="318" spans="2:2" x14ac:dyDescent="0.25">
      <c r="B318" s="100" t="s">
        <v>884</v>
      </c>
    </row>
    <row r="319" spans="2:2" x14ac:dyDescent="0.25">
      <c r="B319" s="98" t="s">
        <v>885</v>
      </c>
    </row>
    <row r="320" spans="2:2" x14ac:dyDescent="0.25">
      <c r="B320" s="100" t="s">
        <v>886</v>
      </c>
    </row>
    <row r="321" spans="2:2" x14ac:dyDescent="0.25">
      <c r="B321" s="98" t="s">
        <v>887</v>
      </c>
    </row>
    <row r="322" spans="2:2" x14ac:dyDescent="0.25">
      <c r="B322" s="100" t="s">
        <v>888</v>
      </c>
    </row>
    <row r="323" spans="2:2" x14ac:dyDescent="0.25">
      <c r="B323" s="98" t="s">
        <v>889</v>
      </c>
    </row>
    <row r="324" spans="2:2" x14ac:dyDescent="0.25">
      <c r="B324" s="100" t="s">
        <v>890</v>
      </c>
    </row>
    <row r="325" spans="2:2" x14ac:dyDescent="0.25">
      <c r="B325" s="98" t="s">
        <v>891</v>
      </c>
    </row>
    <row r="326" spans="2:2" x14ac:dyDescent="0.25">
      <c r="B326" s="100" t="s">
        <v>892</v>
      </c>
    </row>
    <row r="327" spans="2:2" x14ac:dyDescent="0.25">
      <c r="B327" s="98" t="s">
        <v>893</v>
      </c>
    </row>
    <row r="328" spans="2:2" x14ac:dyDescent="0.25">
      <c r="B328" s="100" t="s">
        <v>894</v>
      </c>
    </row>
    <row r="329" spans="2:2" x14ac:dyDescent="0.25">
      <c r="B329" s="98" t="s">
        <v>895</v>
      </c>
    </row>
    <row r="330" spans="2:2" x14ac:dyDescent="0.25">
      <c r="B330" s="100" t="s">
        <v>896</v>
      </c>
    </row>
    <row r="331" spans="2:2" x14ac:dyDescent="0.25">
      <c r="B331" s="98" t="s">
        <v>897</v>
      </c>
    </row>
    <row r="332" spans="2:2" x14ac:dyDescent="0.25">
      <c r="B332" s="100" t="s">
        <v>898</v>
      </c>
    </row>
    <row r="333" spans="2:2" x14ac:dyDescent="0.25">
      <c r="B333" s="98" t="s">
        <v>899</v>
      </c>
    </row>
    <row r="334" spans="2:2" x14ac:dyDescent="0.25">
      <c r="B334" s="100" t="s">
        <v>900</v>
      </c>
    </row>
    <row r="335" spans="2:2" x14ac:dyDescent="0.25">
      <c r="B335" s="98" t="s">
        <v>901</v>
      </c>
    </row>
    <row r="336" spans="2:2" x14ac:dyDescent="0.25">
      <c r="B336" s="100" t="s">
        <v>902</v>
      </c>
    </row>
    <row r="337" spans="2:2" x14ac:dyDescent="0.25">
      <c r="B337" s="98" t="s">
        <v>903</v>
      </c>
    </row>
    <row r="338" spans="2:2" x14ac:dyDescent="0.25">
      <c r="B338" s="100" t="s">
        <v>904</v>
      </c>
    </row>
    <row r="339" spans="2:2" x14ac:dyDescent="0.25">
      <c r="B339" s="98" t="s">
        <v>905</v>
      </c>
    </row>
    <row r="340" spans="2:2" x14ac:dyDescent="0.25">
      <c r="B340" s="100" t="s">
        <v>906</v>
      </c>
    </row>
    <row r="341" spans="2:2" x14ac:dyDescent="0.25">
      <c r="B341" s="98" t="s">
        <v>907</v>
      </c>
    </row>
    <row r="342" spans="2:2" x14ac:dyDescent="0.25">
      <c r="B342" s="100" t="s">
        <v>908</v>
      </c>
    </row>
    <row r="343" spans="2:2" x14ac:dyDescent="0.25">
      <c r="B343" s="98" t="s">
        <v>909</v>
      </c>
    </row>
    <row r="344" spans="2:2" x14ac:dyDescent="0.25">
      <c r="B344" s="100" t="s">
        <v>910</v>
      </c>
    </row>
    <row r="345" spans="2:2" x14ac:dyDescent="0.25">
      <c r="B345" s="98" t="s">
        <v>911</v>
      </c>
    </row>
    <row r="346" spans="2:2" x14ac:dyDescent="0.25">
      <c r="B346" s="100" t="s">
        <v>912</v>
      </c>
    </row>
    <row r="347" spans="2:2" x14ac:dyDescent="0.25">
      <c r="B347" s="98" t="s">
        <v>913</v>
      </c>
    </row>
    <row r="348" spans="2:2" x14ac:dyDescent="0.25">
      <c r="B348" s="100" t="s">
        <v>914</v>
      </c>
    </row>
    <row r="349" spans="2:2" x14ac:dyDescent="0.25">
      <c r="B349" s="98" t="s">
        <v>915</v>
      </c>
    </row>
    <row r="350" spans="2:2" x14ac:dyDescent="0.25">
      <c r="B350" s="100" t="s">
        <v>916</v>
      </c>
    </row>
    <row r="351" spans="2:2" x14ac:dyDescent="0.25">
      <c r="B351" s="98" t="s">
        <v>917</v>
      </c>
    </row>
    <row r="352" spans="2:2" x14ac:dyDescent="0.25">
      <c r="B352" s="100" t="s">
        <v>918</v>
      </c>
    </row>
    <row r="353" spans="1:3" x14ac:dyDescent="0.25">
      <c r="B353" s="98" t="s">
        <v>919</v>
      </c>
    </row>
    <row r="354" spans="1:3" x14ac:dyDescent="0.25">
      <c r="B354" s="100" t="s">
        <v>920</v>
      </c>
    </row>
    <row r="355" spans="1:3" x14ac:dyDescent="0.25">
      <c r="B355" s="98" t="s">
        <v>921</v>
      </c>
    </row>
    <row r="356" spans="1:3" x14ac:dyDescent="0.25">
      <c r="B356" s="100" t="s">
        <v>922</v>
      </c>
    </row>
    <row r="357" spans="1:3" x14ac:dyDescent="0.25">
      <c r="B357" s="98" t="s">
        <v>923</v>
      </c>
    </row>
    <row r="358" spans="1:3" x14ac:dyDescent="0.25">
      <c r="B358" s="100" t="s">
        <v>924</v>
      </c>
    </row>
    <row r="359" spans="1:3" x14ac:dyDescent="0.25">
      <c r="B359" s="98" t="s">
        <v>925</v>
      </c>
    </row>
    <row r="360" spans="1:3" x14ac:dyDescent="0.25">
      <c r="B360" s="100" t="s">
        <v>926</v>
      </c>
    </row>
    <row r="361" spans="1:3" x14ac:dyDescent="0.25">
      <c r="B361" s="98" t="s">
        <v>927</v>
      </c>
    </row>
    <row r="362" spans="1:3" x14ac:dyDescent="0.25">
      <c r="B362" s="100" t="s">
        <v>928</v>
      </c>
    </row>
    <row r="363" spans="1:3" x14ac:dyDescent="0.25">
      <c r="B363" s="98" t="s">
        <v>929</v>
      </c>
    </row>
    <row r="367" spans="1:3" x14ac:dyDescent="0.25">
      <c r="B367" s="98" t="s">
        <v>930</v>
      </c>
      <c r="C367" s="98" t="s">
        <v>931</v>
      </c>
    </row>
    <row r="368" spans="1:3" x14ac:dyDescent="0.25">
      <c r="A368" s="94" t="s">
        <v>281</v>
      </c>
      <c r="B368" s="100" t="s">
        <v>932</v>
      </c>
      <c r="C368" s="100" t="s">
        <v>933</v>
      </c>
    </row>
    <row r="369" spans="1:3" x14ac:dyDescent="0.25">
      <c r="B369" s="98" t="s">
        <v>934</v>
      </c>
      <c r="C369" s="98" t="s">
        <v>935</v>
      </c>
    </row>
    <row r="371" spans="1:3" x14ac:dyDescent="0.25">
      <c r="B371" s="98" t="s">
        <v>867</v>
      </c>
    </row>
    <row r="372" spans="1:3" x14ac:dyDescent="0.25">
      <c r="A372" s="94" t="s">
        <v>936</v>
      </c>
      <c r="B372" s="100" t="s">
        <v>868</v>
      </c>
    </row>
    <row r="373" spans="1:3" x14ac:dyDescent="0.25">
      <c r="B373" s="98" t="s">
        <v>869</v>
      </c>
    </row>
    <row r="374" spans="1:3" x14ac:dyDescent="0.25">
      <c r="B374" s="100" t="s">
        <v>937</v>
      </c>
    </row>
    <row r="375" spans="1:3" x14ac:dyDescent="0.25">
      <c r="B375" s="98" t="s">
        <v>871</v>
      </c>
    </row>
    <row r="376" spans="1:3" x14ac:dyDescent="0.25">
      <c r="B376" s="100" t="s">
        <v>872</v>
      </c>
    </row>
    <row r="377" spans="1:3" x14ac:dyDescent="0.25">
      <c r="B377" s="98" t="s">
        <v>873</v>
      </c>
    </row>
    <row r="378" spans="1:3" x14ac:dyDescent="0.25">
      <c r="B378" s="100" t="s">
        <v>874</v>
      </c>
    </row>
    <row r="379" spans="1:3" x14ac:dyDescent="0.25">
      <c r="B379" s="98" t="s">
        <v>875</v>
      </c>
    </row>
    <row r="380" spans="1:3" x14ac:dyDescent="0.25">
      <c r="B380" s="100" t="s">
        <v>876</v>
      </c>
    </row>
    <row r="381" spans="1:3" x14ac:dyDescent="0.25">
      <c r="B381" s="98" t="s">
        <v>877</v>
      </c>
    </row>
    <row r="382" spans="1:3" x14ac:dyDescent="0.25">
      <c r="B382" s="100" t="s">
        <v>878</v>
      </c>
    </row>
    <row r="383" spans="1:3" x14ac:dyDescent="0.25">
      <c r="B383" s="98" t="s">
        <v>879</v>
      </c>
    </row>
    <row r="384" spans="1:3" x14ac:dyDescent="0.25">
      <c r="B384" s="100" t="s">
        <v>880</v>
      </c>
    </row>
    <row r="385" spans="2:2" x14ac:dyDescent="0.25">
      <c r="B385" s="98" t="s">
        <v>881</v>
      </c>
    </row>
    <row r="386" spans="2:2" x14ac:dyDescent="0.25">
      <c r="B386" s="100" t="s">
        <v>882</v>
      </c>
    </row>
    <row r="387" spans="2:2" x14ac:dyDescent="0.25">
      <c r="B387" s="98" t="s">
        <v>883</v>
      </c>
    </row>
    <row r="388" spans="2:2" x14ac:dyDescent="0.25">
      <c r="B388" s="100" t="s">
        <v>884</v>
      </c>
    </row>
    <row r="389" spans="2:2" x14ac:dyDescent="0.25">
      <c r="B389" s="98" t="s">
        <v>885</v>
      </c>
    </row>
    <row r="390" spans="2:2" x14ac:dyDescent="0.25">
      <c r="B390" s="100" t="s">
        <v>886</v>
      </c>
    </row>
    <row r="391" spans="2:2" x14ac:dyDescent="0.25">
      <c r="B391" s="98" t="s">
        <v>887</v>
      </c>
    </row>
    <row r="392" spans="2:2" x14ac:dyDescent="0.25">
      <c r="B392" s="100" t="s">
        <v>888</v>
      </c>
    </row>
    <row r="393" spans="2:2" x14ac:dyDescent="0.25">
      <c r="B393" s="98" t="s">
        <v>889</v>
      </c>
    </row>
    <row r="394" spans="2:2" x14ac:dyDescent="0.25">
      <c r="B394" s="100" t="s">
        <v>890</v>
      </c>
    </row>
    <row r="395" spans="2:2" x14ac:dyDescent="0.25">
      <c r="B395" s="98" t="s">
        <v>891</v>
      </c>
    </row>
    <row r="396" spans="2:2" x14ac:dyDescent="0.25">
      <c r="B396" s="100" t="s">
        <v>892</v>
      </c>
    </row>
    <row r="397" spans="2:2" x14ac:dyDescent="0.25">
      <c r="B397" s="98" t="s">
        <v>893</v>
      </c>
    </row>
    <row r="398" spans="2:2" x14ac:dyDescent="0.25">
      <c r="B398" s="100" t="s">
        <v>894</v>
      </c>
    </row>
    <row r="399" spans="2:2" x14ac:dyDescent="0.25">
      <c r="B399" s="98" t="s">
        <v>895</v>
      </c>
    </row>
    <row r="400" spans="2:2" x14ac:dyDescent="0.25">
      <c r="B400" s="100" t="s">
        <v>896</v>
      </c>
    </row>
    <row r="401" spans="2:2" x14ac:dyDescent="0.25">
      <c r="B401" s="98" t="s">
        <v>897</v>
      </c>
    </row>
    <row r="402" spans="2:2" x14ac:dyDescent="0.25">
      <c r="B402" s="100" t="s">
        <v>898</v>
      </c>
    </row>
    <row r="403" spans="2:2" x14ac:dyDescent="0.25">
      <c r="B403" s="98" t="s">
        <v>899</v>
      </c>
    </row>
    <row r="404" spans="2:2" x14ac:dyDescent="0.25">
      <c r="B404" s="100" t="s">
        <v>900</v>
      </c>
    </row>
    <row r="405" spans="2:2" x14ac:dyDescent="0.25">
      <c r="B405" s="98" t="s">
        <v>901</v>
      </c>
    </row>
    <row r="406" spans="2:2" x14ac:dyDescent="0.25">
      <c r="B406" s="100" t="s">
        <v>902</v>
      </c>
    </row>
    <row r="407" spans="2:2" x14ac:dyDescent="0.25">
      <c r="B407" s="98" t="s">
        <v>903</v>
      </c>
    </row>
    <row r="408" spans="2:2" x14ac:dyDescent="0.25">
      <c r="B408" s="100" t="s">
        <v>904</v>
      </c>
    </row>
    <row r="409" spans="2:2" x14ac:dyDescent="0.25">
      <c r="B409" s="98" t="s">
        <v>905</v>
      </c>
    </row>
    <row r="410" spans="2:2" x14ac:dyDescent="0.25">
      <c r="B410" s="100" t="s">
        <v>906</v>
      </c>
    </row>
    <row r="411" spans="2:2" x14ac:dyDescent="0.25">
      <c r="B411" s="98" t="s">
        <v>907</v>
      </c>
    </row>
    <row r="412" spans="2:2" x14ac:dyDescent="0.25">
      <c r="B412" s="100" t="s">
        <v>908</v>
      </c>
    </row>
    <row r="413" spans="2:2" x14ac:dyDescent="0.25">
      <c r="B413" s="98" t="s">
        <v>909</v>
      </c>
    </row>
    <row r="414" spans="2:2" x14ac:dyDescent="0.25">
      <c r="B414" s="100" t="s">
        <v>910</v>
      </c>
    </row>
    <row r="415" spans="2:2" x14ac:dyDescent="0.25">
      <c r="B415" s="98" t="s">
        <v>911</v>
      </c>
    </row>
    <row r="416" spans="2:2" x14ac:dyDescent="0.25">
      <c r="B416" s="100" t="s">
        <v>912</v>
      </c>
    </row>
    <row r="417" spans="2:2" x14ac:dyDescent="0.25">
      <c r="B417" s="98" t="s">
        <v>913</v>
      </c>
    </row>
    <row r="418" spans="2:2" x14ac:dyDescent="0.25">
      <c r="B418" s="100" t="s">
        <v>938</v>
      </c>
    </row>
    <row r="419" spans="2:2" x14ac:dyDescent="0.25">
      <c r="B419" s="98" t="s">
        <v>915</v>
      </c>
    </row>
    <row r="420" spans="2:2" x14ac:dyDescent="0.25">
      <c r="B420" s="100" t="s">
        <v>916</v>
      </c>
    </row>
    <row r="421" spans="2:2" x14ac:dyDescent="0.25">
      <c r="B421" s="98" t="s">
        <v>917</v>
      </c>
    </row>
    <row r="422" spans="2:2" x14ac:dyDescent="0.25">
      <c r="B422" s="100" t="s">
        <v>918</v>
      </c>
    </row>
    <row r="423" spans="2:2" x14ac:dyDescent="0.25">
      <c r="B423" s="98" t="s">
        <v>919</v>
      </c>
    </row>
    <row r="424" spans="2:2" x14ac:dyDescent="0.25">
      <c r="B424" s="100" t="s">
        <v>920</v>
      </c>
    </row>
    <row r="425" spans="2:2" x14ac:dyDescent="0.25">
      <c r="B425" s="98" t="s">
        <v>921</v>
      </c>
    </row>
    <row r="426" spans="2:2" x14ac:dyDescent="0.25">
      <c r="B426" s="100" t="s">
        <v>922</v>
      </c>
    </row>
    <row r="427" spans="2:2" x14ac:dyDescent="0.25">
      <c r="B427" s="98" t="s">
        <v>923</v>
      </c>
    </row>
    <row r="428" spans="2:2" x14ac:dyDescent="0.25">
      <c r="B428" s="100" t="s">
        <v>924</v>
      </c>
    </row>
    <row r="429" spans="2:2" x14ac:dyDescent="0.25">
      <c r="B429" s="98" t="s">
        <v>925</v>
      </c>
    </row>
    <row r="430" spans="2:2" x14ac:dyDescent="0.25">
      <c r="B430" s="100" t="s">
        <v>926</v>
      </c>
    </row>
    <row r="431" spans="2:2" x14ac:dyDescent="0.25">
      <c r="B431" s="98" t="s">
        <v>927</v>
      </c>
    </row>
    <row r="432" spans="2:2" x14ac:dyDescent="0.25">
      <c r="B432" s="100" t="s">
        <v>928</v>
      </c>
    </row>
    <row r="433" spans="1:2" x14ac:dyDescent="0.25">
      <c r="B433" s="98" t="s">
        <v>929</v>
      </c>
    </row>
    <row r="436" spans="1:2" x14ac:dyDescent="0.25">
      <c r="B436" s="98" t="s">
        <v>939</v>
      </c>
    </row>
    <row r="437" spans="1:2" x14ac:dyDescent="0.25">
      <c r="A437" s="96" t="s">
        <v>940</v>
      </c>
      <c r="B437" s="100" t="s">
        <v>941</v>
      </c>
    </row>
    <row r="438" spans="1:2" x14ac:dyDescent="0.25">
      <c r="B438" s="98" t="s">
        <v>942</v>
      </c>
    </row>
    <row r="439" spans="1:2" x14ac:dyDescent="0.25">
      <c r="B439" s="100" t="s">
        <v>943</v>
      </c>
    </row>
    <row r="440" spans="1:2" x14ac:dyDescent="0.25">
      <c r="B440" s="98" t="s">
        <v>944</v>
      </c>
    </row>
    <row r="441" spans="1:2" x14ac:dyDescent="0.25">
      <c r="B441" s="100" t="s">
        <v>945</v>
      </c>
    </row>
    <row r="442" spans="1:2" x14ac:dyDescent="0.25">
      <c r="B442" s="98" t="s">
        <v>946</v>
      </c>
    </row>
    <row r="443" spans="1:2" x14ac:dyDescent="0.25">
      <c r="B443" s="100" t="s">
        <v>947</v>
      </c>
    </row>
    <row r="444" spans="1:2" x14ac:dyDescent="0.25">
      <c r="B444" s="98" t="s">
        <v>948</v>
      </c>
    </row>
    <row r="445" spans="1:2" x14ac:dyDescent="0.25">
      <c r="B445" s="100" t="s">
        <v>949</v>
      </c>
    </row>
    <row r="446" spans="1:2" x14ac:dyDescent="0.25">
      <c r="B446" s="98" t="s">
        <v>950</v>
      </c>
    </row>
    <row r="447" spans="1:2" x14ac:dyDescent="0.25">
      <c r="B447" s="100" t="s">
        <v>951</v>
      </c>
    </row>
    <row r="448" spans="1:2" x14ac:dyDescent="0.25">
      <c r="B448" s="98" t="s">
        <v>952</v>
      </c>
    </row>
    <row r="449" spans="1:3" x14ac:dyDescent="0.25">
      <c r="B449" s="100" t="s">
        <v>953</v>
      </c>
    </row>
    <row r="452" spans="1:3" x14ac:dyDescent="0.25">
      <c r="B452" s="98" t="str">
        <f>"1 - M-coded"</f>
        <v>1 - M-coded</v>
      </c>
      <c r="C452" s="98" t="str">
        <f>"1 - M-codiert"</f>
        <v>1 - M-codiert</v>
      </c>
    </row>
    <row r="453" spans="1:3" x14ac:dyDescent="0.25">
      <c r="A453" s="96" t="s">
        <v>327</v>
      </c>
      <c r="B453" s="100" t="str">
        <f>"2 - K-coded"</f>
        <v>2 - K-coded</v>
      </c>
      <c r="C453" s="100" t="str">
        <f>"2 - K-codiert"</f>
        <v>2 - K-codiert</v>
      </c>
    </row>
    <row r="454" spans="1:3" x14ac:dyDescent="0.25">
      <c r="B454" s="98" t="str">
        <f>"3 - L-coded"</f>
        <v>3 - L-coded</v>
      </c>
      <c r="C454" s="98" t="str">
        <f>"3 - L-codiert"</f>
        <v>3 - L-codiert</v>
      </c>
    </row>
    <row r="455" spans="1:3" x14ac:dyDescent="0.25">
      <c r="B455" s="100" t="str">
        <f>"4 - E-coded"</f>
        <v>4 - E-coded</v>
      </c>
      <c r="C455" s="100" t="str">
        <f>"4 - E-codiert"</f>
        <v>4 - E-codiert</v>
      </c>
    </row>
    <row r="456" spans="1:3" x14ac:dyDescent="0.25">
      <c r="B456" s="98" t="str">
        <f>"5 - X-coded"</f>
        <v>5 - X-coded</v>
      </c>
      <c r="C456" s="98" t="str">
        <f>"5 - X-codiert"</f>
        <v>5 - X-codiert</v>
      </c>
    </row>
    <row r="457" spans="1:3" x14ac:dyDescent="0.25">
      <c r="B457" s="100" t="str">
        <f>"6 - Y-coded"</f>
        <v>6 - Y-coded</v>
      </c>
      <c r="C457" s="100" t="str">
        <f>"6 - Y-codiert"</f>
        <v>6 - Y-codiert</v>
      </c>
    </row>
    <row r="458" spans="1:3" x14ac:dyDescent="0.25">
      <c r="B458" s="98" t="str">
        <f>"7 - T-coded"</f>
        <v>7 - T-coded</v>
      </c>
      <c r="C458" s="98" t="str">
        <f>"7 - T-codiert"</f>
        <v>7 - T-codiert</v>
      </c>
    </row>
    <row r="459" spans="1:3" x14ac:dyDescent="0.25">
      <c r="B459" s="100" t="str">
        <f>"8 - S-Coded"</f>
        <v>8 - S-Coded</v>
      </c>
      <c r="C459" s="100" t="str">
        <f>"8 - S-codiert"</f>
        <v>8 - S-codiert</v>
      </c>
    </row>
    <row r="460" spans="1:3" x14ac:dyDescent="0.25">
      <c r="B460" s="98" t="str">
        <f>"9 - D-coded"</f>
        <v>9 - D-coded</v>
      </c>
      <c r="C460" s="98" t="str">
        <f>"9 - D-codiert"</f>
        <v>9 - D-codiert</v>
      </c>
    </row>
    <row r="461" spans="1:3" x14ac:dyDescent="0.25">
      <c r="B461" s="100" t="str">
        <f>"10 - C-coded"</f>
        <v>10 - C-coded</v>
      </c>
      <c r="C461" s="100" t="str">
        <f>"10 - C-codiert"</f>
        <v>10 - C-codiert</v>
      </c>
    </row>
    <row r="462" spans="1:3" x14ac:dyDescent="0.25">
      <c r="B462" s="98" t="str">
        <f>"11 - B-coded"</f>
        <v>11 - B-coded</v>
      </c>
      <c r="C462" s="98" t="str">
        <f>"11 - B-codiert"</f>
        <v>11 - B-codiert</v>
      </c>
    </row>
    <row r="463" spans="1:3" x14ac:dyDescent="0.25">
      <c r="B463" s="100" t="str">
        <f>"12 - A-coded"</f>
        <v>12 - A-coded</v>
      </c>
      <c r="C463" s="100" t="str">
        <f>"12 - A-codiert"</f>
        <v>12 - A-codiert</v>
      </c>
    </row>
    <row r="464" spans="1:3" x14ac:dyDescent="0.25">
      <c r="B464" s="98" t="str">
        <f>"13 - Socket"</f>
        <v>13 - Socket</v>
      </c>
      <c r="C464" s="98" t="str">
        <f>"13 - Buchse"</f>
        <v>13 - Buchse</v>
      </c>
    </row>
    <row r="465" spans="1:3" x14ac:dyDescent="0.25">
      <c r="B465" s="100" t="str">
        <f>"14 - Locking bolt"</f>
        <v>14 - Locking bolt</v>
      </c>
      <c r="C465" s="100" t="str">
        <f>"14 - Sperrbolzen"</f>
        <v>14 - Sperrbolzen</v>
      </c>
    </row>
    <row r="466" spans="1:3" x14ac:dyDescent="0.25">
      <c r="B466" s="98" t="str">
        <f>"15 - Guide pin/socket"</f>
        <v>15 - Guide pin/socket</v>
      </c>
      <c r="C466" s="98" t="str">
        <f>"15 - Führungsstift/-buchse"</f>
        <v>15 - Führungsstift/-buchse</v>
      </c>
    </row>
    <row r="467" spans="1:3" x14ac:dyDescent="0.25">
      <c r="B467" s="100" t="str">
        <f>"16 - Contact insert"</f>
        <v>16 - Contact insert</v>
      </c>
      <c r="C467" s="100" t="str">
        <f>"16 - Kontakteinsatz"</f>
        <v>16 - Kontakteinsatz</v>
      </c>
    </row>
    <row r="468" spans="1:3" x14ac:dyDescent="0.25">
      <c r="B468" s="98" t="str">
        <f>"17 - Coding pin"</f>
        <v>17 - Coding pin</v>
      </c>
      <c r="C468" s="98" t="str">
        <f>"17 - Kodierstift"</f>
        <v>17 - Kodierstift</v>
      </c>
    </row>
    <row r="469" spans="1:3" x14ac:dyDescent="0.25">
      <c r="B469" s="100" t="str">
        <f>"18 - Contact"</f>
        <v>18 - Contact</v>
      </c>
      <c r="C469" s="100" t="str">
        <f>"18 - Kontakt"</f>
        <v>18 - Kontakt</v>
      </c>
    </row>
    <row r="470" spans="1:3" x14ac:dyDescent="0.25">
      <c r="B470" s="98" t="str">
        <f>"19 - Housing shape"</f>
        <v>19 - Housing shape</v>
      </c>
      <c r="C470" s="98" t="str">
        <f>"19 - Gehäuseform"</f>
        <v>19 - Gehäuseform</v>
      </c>
    </row>
    <row r="471" spans="1:3" x14ac:dyDescent="0.25">
      <c r="B471" s="100" t="str">
        <f>"20 - Pin"</f>
        <v>20 - Pin</v>
      </c>
      <c r="C471" s="100" t="str">
        <f>"20 - Stift"</f>
        <v>20 - Stift</v>
      </c>
    </row>
    <row r="472" spans="1:3" x14ac:dyDescent="0.25">
      <c r="B472" s="98" t="str">
        <f>"21 - Plug"</f>
        <v>21 - Plug</v>
      </c>
      <c r="C472" s="98" t="str">
        <f>"21 - Stecker"</f>
        <v>21 - Stecker</v>
      </c>
    </row>
    <row r="473" spans="1:3" x14ac:dyDescent="0.25">
      <c r="B473" s="100" t="str">
        <f>"22 - without"</f>
        <v>22 - without</v>
      </c>
      <c r="C473" s="100" t="str">
        <f>"22 - ohne"</f>
        <v>22 - ohne</v>
      </c>
    </row>
    <row r="475" spans="1:3" x14ac:dyDescent="0.25">
      <c r="A475" s="94" t="s">
        <v>331</v>
      </c>
      <c r="B475" s="100" t="s">
        <v>954</v>
      </c>
      <c r="C475" s="100" t="s">
        <v>954</v>
      </c>
    </row>
    <row r="476" spans="1:3" x14ac:dyDescent="0.25">
      <c r="B476" s="98" t="s">
        <v>955</v>
      </c>
      <c r="C476" s="98" t="s">
        <v>956</v>
      </c>
    </row>
    <row r="477" spans="1:3" x14ac:dyDescent="0.25">
      <c r="B477" s="100" t="s">
        <v>957</v>
      </c>
      <c r="C477" s="100" t="s">
        <v>958</v>
      </c>
    </row>
    <row r="478" spans="1:3" x14ac:dyDescent="0.25">
      <c r="B478" s="98" t="s">
        <v>959</v>
      </c>
      <c r="C478" s="98" t="s">
        <v>960</v>
      </c>
    </row>
    <row r="480" spans="1:3" x14ac:dyDescent="0.25">
      <c r="A480" s="97" t="s">
        <v>961</v>
      </c>
      <c r="B480" s="100" t="str">
        <f>"1 - Connection"</f>
        <v>1 - Connection</v>
      </c>
      <c r="C480" s="100" t="str">
        <f>"1 - Anschluss"</f>
        <v>1 - Anschluss</v>
      </c>
    </row>
    <row r="481" spans="1:10" x14ac:dyDescent="0.25">
      <c r="B481" s="98" t="str">
        <f>"2 - electrical to be energized parts"</f>
        <v>2 - electrical to be energized parts</v>
      </c>
      <c r="C481" s="98" t="str">
        <f>"2 - elektrisch - zu spannungsführenden Teilen"</f>
        <v>2 - elektrisch - zu spannungsführenden Teilen</v>
      </c>
    </row>
    <row r="482" spans="1:10" x14ac:dyDescent="0.25">
      <c r="B482" s="100" t="str">
        <f>"3 - electrical to earth parts"</f>
        <v>3 - electrical to earth parts</v>
      </c>
      <c r="C482" s="100" t="str">
        <f>"3 - elektrisch - zu erdendenTeilen"</f>
        <v>3 - elektrisch - zu erdendenTeilen</v>
      </c>
    </row>
    <row r="483" spans="1:10" x14ac:dyDescent="0.25">
      <c r="B483" s="98" t="str">
        <f>"4 - Maintenance"</f>
        <v>4 - Maintenance</v>
      </c>
      <c r="C483" s="98" t="str">
        <f>"4 - Wartung"</f>
        <v>4 - Wartung</v>
      </c>
    </row>
    <row r="484" spans="1:10" x14ac:dyDescent="0.25">
      <c r="B484" s="100" t="str">
        <f>"5 - thermal"</f>
        <v>5 - thermal</v>
      </c>
      <c r="C484" s="100" t="str">
        <f>"5 - thermisch"</f>
        <v>5 - thermisch</v>
      </c>
    </row>
    <row r="485" spans="1:10" x14ac:dyDescent="0.25">
      <c r="B485" s="98" t="str">
        <f>"6 - mechanical"</f>
        <v>6 - mechanical</v>
      </c>
      <c r="C485" s="98" t="str">
        <f>"6 - mechanisch"</f>
        <v>6 - mechanisch</v>
      </c>
    </row>
    <row r="487" spans="1:10" x14ac:dyDescent="0.25">
      <c r="A487" s="94" t="s">
        <v>297</v>
      </c>
      <c r="B487" s="100" t="str">
        <f>"1 - build at the top"</f>
        <v>1 - build at the top</v>
      </c>
      <c r="C487" s="100" t="str">
        <f>"1 - Anbau oben"</f>
        <v>1 - Anbau oben</v>
      </c>
    </row>
    <row r="488" spans="1:10" x14ac:dyDescent="0.25">
      <c r="B488" s="98" t="str">
        <f>"2 - build on down"</f>
        <v>2 - build on down</v>
      </c>
      <c r="C488" s="98" t="str">
        <f>"2 - Anbau unten"</f>
        <v>2 - Anbau unten</v>
      </c>
    </row>
    <row r="489" spans="1:10" x14ac:dyDescent="0.25">
      <c r="B489" s="100" t="str">
        <f>"3 - build on the device"</f>
        <v>3 - build on the device</v>
      </c>
      <c r="C489" s="100" t="str">
        <f>"3 - Anbau auf Bauteil"</f>
        <v>3 - Anbau auf Bauteil</v>
      </c>
    </row>
    <row r="490" spans="1:10" x14ac:dyDescent="0.25">
      <c r="B490" s="98" t="str">
        <f>"4 - build under device"</f>
        <v>4 - build under device</v>
      </c>
      <c r="C490" s="98" t="str">
        <f>"4 - Anbau unter Bauteil"</f>
        <v>4 - Anbau unter Bauteil</v>
      </c>
    </row>
    <row r="491" spans="1:10" x14ac:dyDescent="0.25">
      <c r="B491" s="100" t="str">
        <f>"5 - inside"</f>
        <v>5 - inside</v>
      </c>
      <c r="C491" s="100" t="str">
        <f>"5 - Einbau"</f>
        <v>5 - Einbau</v>
      </c>
    </row>
    <row r="492" spans="1:10" x14ac:dyDescent="0.25">
      <c r="B492" s="98" t="str">
        <f>"6 - side build on the left"</f>
        <v>6 - side build on the left</v>
      </c>
      <c r="C492" s="98" t="str">
        <f>"6 - seitlicher Anbau links"</f>
        <v>6 - seitlicher Anbau links</v>
      </c>
    </row>
    <row r="493" spans="1:10" x14ac:dyDescent="0.25">
      <c r="B493" s="100" t="str">
        <f>"7 - side build on the right"</f>
        <v>7 - side build on the right</v>
      </c>
      <c r="C493" s="100" t="str">
        <f>"7 - seitlicher Anbau rechts"</f>
        <v>7 - seitlicher Anbau rechts</v>
      </c>
    </row>
    <row r="494" spans="1:10" s="102" customFormat="1" x14ac:dyDescent="0.25">
      <c r="A494" s="96"/>
      <c r="I494" s="103"/>
      <c r="J494" s="103"/>
    </row>
    <row r="495" spans="1:10" x14ac:dyDescent="0.25">
      <c r="A495" s="104"/>
    </row>
    <row r="497" spans="1:10" x14ac:dyDescent="0.25">
      <c r="I497"/>
      <c r="J497"/>
    </row>
    <row r="498" spans="1:10" x14ac:dyDescent="0.25">
      <c r="A498" t="s">
        <v>962</v>
      </c>
      <c r="I498"/>
      <c r="J498"/>
    </row>
    <row r="499" spans="1:10" x14ac:dyDescent="0.25">
      <c r="A499" s="105" t="s">
        <v>963</v>
      </c>
      <c r="I499"/>
      <c r="J499"/>
    </row>
    <row r="500" spans="1:10" x14ac:dyDescent="0.25">
      <c r="A500"/>
      <c r="I500"/>
      <c r="J500"/>
    </row>
    <row r="501" spans="1:10" x14ac:dyDescent="0.25">
      <c r="A501"/>
      <c r="I501"/>
      <c r="J501"/>
    </row>
    <row r="502" spans="1:10" x14ac:dyDescent="0.25">
      <c r="A502"/>
      <c r="I502"/>
      <c r="J502"/>
    </row>
    <row r="503" spans="1:10" x14ac:dyDescent="0.25">
      <c r="A503"/>
      <c r="I503"/>
      <c r="J503"/>
    </row>
    <row r="504" spans="1:10" x14ac:dyDescent="0.25">
      <c r="A504"/>
      <c r="I504"/>
      <c r="J504"/>
    </row>
    <row r="505" spans="1:10" x14ac:dyDescent="0.25">
      <c r="A505"/>
      <c r="I505"/>
      <c r="J505"/>
    </row>
    <row r="506" spans="1:10" x14ac:dyDescent="0.25">
      <c r="A506"/>
      <c r="I506"/>
      <c r="J506"/>
    </row>
    <row r="507" spans="1:10" x14ac:dyDescent="0.25">
      <c r="A507"/>
      <c r="I507"/>
      <c r="J507"/>
    </row>
    <row r="508" spans="1:10" x14ac:dyDescent="0.25">
      <c r="A508"/>
      <c r="I508"/>
      <c r="J508"/>
    </row>
    <row r="509" spans="1:10" x14ac:dyDescent="0.25">
      <c r="A509"/>
      <c r="I509"/>
      <c r="J509"/>
    </row>
    <row r="510" spans="1:10" x14ac:dyDescent="0.25">
      <c r="A510"/>
      <c r="I510"/>
      <c r="J510"/>
    </row>
    <row r="511" spans="1:10" x14ac:dyDescent="0.25">
      <c r="A511"/>
    </row>
  </sheetData>
  <hyperlinks>
    <hyperlink ref="A3" location="connection_point_name_pins" display="Connection point name pins" xr:uid="{B1314C74-F3BA-42CA-9099-E60B5C7729B1}"/>
    <hyperlink ref="A20" location="AAN496_connection_direction" display="Connection direction" xr:uid="{D5DA8A01-9E8A-42FD-A1C3-7940081C555D}"/>
    <hyperlink ref="A28" location="mounting_description" display="Mounting description" xr:uid="{F89CC8F5-006F-4657-B719-379FD28FC645}"/>
    <hyperlink ref="A100" location="AAN413_connection_function" display="Connection function" xr:uid="{B573133C-1E1E-4604-BDAF-8FE359FE745A}"/>
    <hyperlink ref="A132" location="CROSS_AWG_MIN" display="CROSSAWGMIN" xr:uid="{64495FE7-2555-412D-8E23-BE8C1B1DAC0D}"/>
    <hyperlink ref="A170" location="CROSS_AWG_MAX" display="CROSSAWGMAX" xr:uid="{5698DD96-1B68-4578-A365-70E52F3E7959}"/>
    <hyperlink ref="A208" location="AAN476_drilling_type" display="drilling type" xr:uid="{BD3A5E13-EAAC-4BBB-B05C-C006C1B16B82}"/>
    <hyperlink ref="A219" location="CNS_ELECTRO_MATERIAL" display="Material / CNS_ELECTRO_MATERIAL" xr:uid="{765F191C-EC6C-4BE6-B53D-4C8176F4C08E}"/>
    <hyperlink ref="A372" location="Component_Function_3D" display="Component Function 3D" xr:uid="{AC593AC1-40B3-4E37-A791-B1709D42A166}"/>
    <hyperlink ref="A368" location="CNS_RESTRICTED_AREA_TYPE" display="CNS_RESTRICTED_AREA_TYPE" xr:uid="{CCD2D700-3FBA-4155-9037-C3E4C099DFFA}"/>
    <hyperlink ref="A302" location="CNS_COMPONENT_FUNCTION_3D" display="CNS_COMPONENT_FUNCTION_3D" xr:uid="{FD28363B-4E63-4418-9EBA-DB2F42F57891}"/>
    <hyperlink ref="A499" location="Subcircuit_Mapping" display="Subcircuit Mapping" xr:uid="{DB7C3244-D75A-40C8-A4CF-546876B80549}"/>
    <hyperlink ref="A282" location="potential_type" display="Potential type" xr:uid="{B92B9033-6501-459D-914E-CEFBEE95105E}"/>
    <hyperlink ref="A292" location="shielded_by" display="Shielded by" xr:uid="{1FDA7B17-3F29-444F-A875-81E40DE85C11}"/>
    <hyperlink ref="A475" location="CNS_AREA_SHAPE" display="CNS_AREA_SHAPE" xr:uid="{4E83D660-F7DB-4005-8CDB-97C0D3A74C42}"/>
    <hyperlink ref="A212" location="drilling_subtype" display="drilling_subtype" xr:uid="{E131C630-7D46-43CA-BFDC-9924A0F25077}"/>
    <hyperlink ref="A480" location="'Connection Point Information'!CNS_TYPE_OF_BARRED_AREA" display="CNS_TYPE_OF_BARRED_AREA Type" xr:uid="{D417D5CF-ADC9-4DC5-AFA9-5B3B67A4CDA0}"/>
    <hyperlink ref="A487" location="'Connection Point Information'!CNS_COMPONENT_MOUNTING_TYPE" display="CNS_COMPONENT_MOUNTING_TYPE" xr:uid="{3032A2AB-0223-4637-A418-27A46736FC47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C578-6B6E-42F3-8F83-CDE859D61943}">
  <dimension ref="A1:AZ63"/>
  <sheetViews>
    <sheetView topLeftCell="B8" zoomScale="85" zoomScaleNormal="85" workbookViewId="0">
      <selection activeCell="B9" sqref="B9:B49"/>
    </sheetView>
  </sheetViews>
  <sheetFormatPr defaultColWidth="11.42578125" defaultRowHeight="15" x14ac:dyDescent="0.25"/>
  <cols>
    <col min="1" max="1" width="17.7109375" style="39" customWidth="1"/>
    <col min="2" max="4" width="25.7109375" style="39" customWidth="1"/>
    <col min="5" max="5" width="4.7109375" style="39" customWidth="1"/>
    <col min="6" max="52" width="25.7109375" style="39" customWidth="1"/>
    <col min="53" max="16384" width="11.42578125" style="39"/>
  </cols>
  <sheetData>
    <row r="1" spans="1:52" ht="15.75" thickBot="1" x14ac:dyDescent="0.3"/>
    <row r="2" spans="1:52" customFormat="1" ht="57" thickBot="1" x14ac:dyDescent="0.35">
      <c r="A2" s="106"/>
      <c r="B2" s="10" t="s">
        <v>964</v>
      </c>
      <c r="C2" s="10" t="s">
        <v>964</v>
      </c>
      <c r="D2" s="6" t="s">
        <v>3</v>
      </c>
      <c r="E2" s="11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4</v>
      </c>
      <c r="S2" s="7" t="s">
        <v>4</v>
      </c>
      <c r="T2" s="7" t="s">
        <v>4</v>
      </c>
      <c r="U2" s="7" t="s">
        <v>4</v>
      </c>
      <c r="V2" s="7" t="s">
        <v>4</v>
      </c>
      <c r="W2" s="7" t="s">
        <v>4</v>
      </c>
      <c r="X2" s="7" t="s">
        <v>4</v>
      </c>
      <c r="Y2" s="7" t="s">
        <v>4</v>
      </c>
      <c r="Z2" s="7" t="s">
        <v>4</v>
      </c>
      <c r="AA2" s="7" t="s">
        <v>4</v>
      </c>
      <c r="AB2" s="7" t="s">
        <v>4</v>
      </c>
      <c r="AC2" s="7" t="s">
        <v>4</v>
      </c>
      <c r="AD2" s="7" t="s">
        <v>4</v>
      </c>
      <c r="AE2" s="7" t="s">
        <v>4</v>
      </c>
      <c r="AF2" s="7" t="s">
        <v>4</v>
      </c>
      <c r="AG2" s="7" t="s">
        <v>4</v>
      </c>
      <c r="AH2" s="7" t="s">
        <v>4</v>
      </c>
      <c r="AI2" s="7" t="s">
        <v>4</v>
      </c>
      <c r="AJ2" s="7" t="s">
        <v>4</v>
      </c>
      <c r="AK2" s="7" t="s">
        <v>4</v>
      </c>
      <c r="AL2" s="7" t="s">
        <v>4</v>
      </c>
      <c r="AM2" s="7" t="s">
        <v>4</v>
      </c>
      <c r="AN2" s="7" t="s">
        <v>4</v>
      </c>
      <c r="AO2" s="7" t="s">
        <v>4</v>
      </c>
      <c r="AP2" s="7" t="s">
        <v>4</v>
      </c>
      <c r="AQ2" s="7" t="s">
        <v>4</v>
      </c>
      <c r="AR2" s="7" t="s">
        <v>4</v>
      </c>
      <c r="AS2" s="7" t="s">
        <v>4</v>
      </c>
      <c r="AT2" s="7" t="s">
        <v>4</v>
      </c>
      <c r="AU2" s="7" t="s">
        <v>4</v>
      </c>
      <c r="AV2" s="7" t="s">
        <v>4</v>
      </c>
      <c r="AW2" s="7" t="s">
        <v>4</v>
      </c>
      <c r="AX2" s="7" t="s">
        <v>4</v>
      </c>
      <c r="AY2" s="7" t="s">
        <v>4</v>
      </c>
      <c r="AZ2" s="7" t="s">
        <v>4</v>
      </c>
    </row>
    <row r="3" spans="1:52" customFormat="1" ht="18.75" x14ac:dyDescent="0.25">
      <c r="A3" s="15"/>
      <c r="B3" s="15" t="s">
        <v>965</v>
      </c>
      <c r="C3" s="15" t="s">
        <v>965</v>
      </c>
      <c r="D3" s="13" t="s">
        <v>8</v>
      </c>
      <c r="E3" s="16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</row>
    <row r="4" spans="1:52" customFormat="1" ht="37.5" x14ac:dyDescent="0.25">
      <c r="A4" s="20" t="s">
        <v>13</v>
      </c>
      <c r="B4" s="20" t="s">
        <v>966</v>
      </c>
      <c r="C4" s="20" t="s">
        <v>967</v>
      </c>
      <c r="D4" s="19" t="s">
        <v>17</v>
      </c>
      <c r="E4" s="25"/>
      <c r="F4" s="20" t="s">
        <v>968</v>
      </c>
      <c r="G4" s="20" t="s">
        <v>969</v>
      </c>
      <c r="H4" s="20" t="s">
        <v>970</v>
      </c>
      <c r="I4" s="20" t="s">
        <v>971</v>
      </c>
      <c r="J4" s="20" t="s">
        <v>972</v>
      </c>
      <c r="K4" s="20" t="s">
        <v>973</v>
      </c>
      <c r="L4" s="20" t="s">
        <v>974</v>
      </c>
      <c r="M4" s="20" t="s">
        <v>975</v>
      </c>
      <c r="N4" s="20" t="s">
        <v>976</v>
      </c>
      <c r="O4" s="20" t="s">
        <v>977</v>
      </c>
      <c r="P4" s="20" t="s">
        <v>978</v>
      </c>
      <c r="Q4" s="20" t="s">
        <v>979</v>
      </c>
      <c r="R4" s="20" t="s">
        <v>980</v>
      </c>
      <c r="S4" s="20" t="s">
        <v>981</v>
      </c>
      <c r="T4" s="20" t="s">
        <v>982</v>
      </c>
      <c r="U4" s="20" t="s">
        <v>983</v>
      </c>
      <c r="V4" s="20" t="s">
        <v>984</v>
      </c>
      <c r="W4" s="20" t="s">
        <v>985</v>
      </c>
      <c r="X4" s="20" t="s">
        <v>986</v>
      </c>
      <c r="Y4" s="20" t="s">
        <v>987</v>
      </c>
      <c r="Z4" s="20" t="s">
        <v>988</v>
      </c>
      <c r="AA4" s="20" t="s">
        <v>989</v>
      </c>
      <c r="AB4" s="20" t="s">
        <v>990</v>
      </c>
      <c r="AC4" s="20" t="s">
        <v>991</v>
      </c>
      <c r="AD4" s="20" t="s">
        <v>992</v>
      </c>
      <c r="AE4" s="20" t="s">
        <v>16</v>
      </c>
      <c r="AF4" s="20" t="s">
        <v>993</v>
      </c>
      <c r="AG4" s="20" t="s">
        <v>280</v>
      </c>
      <c r="AH4" s="20" t="s">
        <v>994</v>
      </c>
      <c r="AI4" s="20" t="s">
        <v>995</v>
      </c>
      <c r="AJ4" s="20" t="s">
        <v>996</v>
      </c>
      <c r="AK4" s="20" t="s">
        <v>997</v>
      </c>
      <c r="AL4" s="20" t="s">
        <v>998</v>
      </c>
      <c r="AM4" s="20" t="s">
        <v>999</v>
      </c>
      <c r="AN4" s="20" t="s">
        <v>1000</v>
      </c>
      <c r="AO4" s="20" t="s">
        <v>1001</v>
      </c>
      <c r="AP4" s="20" t="s">
        <v>1002</v>
      </c>
      <c r="AQ4" s="20" t="s">
        <v>1003</v>
      </c>
      <c r="AR4" s="20" t="s">
        <v>1004</v>
      </c>
      <c r="AS4" s="20" t="s">
        <v>1005</v>
      </c>
      <c r="AT4" s="20" t="s">
        <v>1006</v>
      </c>
      <c r="AU4" s="20" t="s">
        <v>1007</v>
      </c>
      <c r="AV4" s="20" t="s">
        <v>1008</v>
      </c>
      <c r="AW4" s="20" t="s">
        <v>1009</v>
      </c>
      <c r="AX4" s="20" t="s">
        <v>1010</v>
      </c>
      <c r="AY4" s="20" t="s">
        <v>1011</v>
      </c>
      <c r="AZ4" s="20" t="s">
        <v>1012</v>
      </c>
    </row>
    <row r="5" spans="1:52" customFormat="1" ht="56.25" x14ac:dyDescent="0.25">
      <c r="A5" s="20" t="s">
        <v>48</v>
      </c>
      <c r="B5" s="20" t="s">
        <v>49</v>
      </c>
      <c r="C5" s="20" t="s">
        <v>49</v>
      </c>
      <c r="D5" s="20" t="s">
        <v>17</v>
      </c>
      <c r="E5" s="30"/>
      <c r="F5" s="19" t="s">
        <v>968</v>
      </c>
      <c r="G5" s="107" t="s">
        <v>969</v>
      </c>
      <c r="H5" s="19" t="s">
        <v>970</v>
      </c>
      <c r="I5" s="19" t="s">
        <v>971</v>
      </c>
      <c r="J5" s="19" t="s">
        <v>972</v>
      </c>
      <c r="K5" s="19" t="s">
        <v>973</v>
      </c>
      <c r="L5" s="19" t="s">
        <v>974</v>
      </c>
      <c r="M5" s="19" t="s">
        <v>975</v>
      </c>
      <c r="N5" s="19" t="s">
        <v>976</v>
      </c>
      <c r="O5" s="19" t="s">
        <v>977</v>
      </c>
      <c r="P5" s="19" t="s">
        <v>978</v>
      </c>
      <c r="Q5" s="19" t="s">
        <v>979</v>
      </c>
      <c r="R5" s="107" t="s">
        <v>980</v>
      </c>
      <c r="S5" s="19" t="s">
        <v>981</v>
      </c>
      <c r="T5" s="19" t="s">
        <v>982</v>
      </c>
      <c r="U5" s="19" t="s">
        <v>983</v>
      </c>
      <c r="V5" s="19" t="s">
        <v>984</v>
      </c>
      <c r="W5" s="19" t="s">
        <v>985</v>
      </c>
      <c r="X5" s="19" t="s">
        <v>986</v>
      </c>
      <c r="Y5" s="19" t="s">
        <v>987</v>
      </c>
      <c r="Z5" s="19" t="s">
        <v>988</v>
      </c>
      <c r="AA5" s="19" t="s">
        <v>989</v>
      </c>
      <c r="AB5" s="19" t="s">
        <v>990</v>
      </c>
      <c r="AC5" s="19" t="s">
        <v>991</v>
      </c>
      <c r="AD5" s="19" t="s">
        <v>992</v>
      </c>
      <c r="AE5" s="19" t="s">
        <v>16</v>
      </c>
      <c r="AF5" s="19" t="s">
        <v>993</v>
      </c>
      <c r="AG5" s="19" t="s">
        <v>280</v>
      </c>
      <c r="AH5" s="107" t="s">
        <v>994</v>
      </c>
      <c r="AI5" s="107" t="s">
        <v>995</v>
      </c>
      <c r="AJ5" s="19" t="s">
        <v>996</v>
      </c>
      <c r="AK5" s="107" t="s">
        <v>997</v>
      </c>
      <c r="AL5" s="107" t="s">
        <v>998</v>
      </c>
      <c r="AM5" s="19" t="s">
        <v>999</v>
      </c>
      <c r="AN5" s="19" t="s">
        <v>1000</v>
      </c>
      <c r="AO5" s="19" t="s">
        <v>1001</v>
      </c>
      <c r="AP5" s="19" t="s">
        <v>1002</v>
      </c>
      <c r="AQ5" s="19" t="s">
        <v>1003</v>
      </c>
      <c r="AR5" s="19" t="s">
        <v>1004</v>
      </c>
      <c r="AS5" s="19" t="s">
        <v>1005</v>
      </c>
      <c r="AT5" s="19" t="s">
        <v>1006</v>
      </c>
      <c r="AU5" s="107" t="s">
        <v>1007</v>
      </c>
      <c r="AV5" s="19" t="s">
        <v>1008</v>
      </c>
      <c r="AW5" s="107" t="s">
        <v>1009</v>
      </c>
      <c r="AX5" s="107" t="s">
        <v>1010</v>
      </c>
      <c r="AY5" s="19" t="s">
        <v>1011</v>
      </c>
      <c r="AZ5" s="19" t="s">
        <v>1012</v>
      </c>
    </row>
    <row r="6" spans="1:52" s="34" customFormat="1" ht="337.5" x14ac:dyDescent="0.25">
      <c r="A6" s="34" t="s">
        <v>65</v>
      </c>
      <c r="B6" s="34" t="s">
        <v>1013</v>
      </c>
      <c r="C6" s="34" t="s">
        <v>1014</v>
      </c>
      <c r="D6" s="34" t="s">
        <v>1015</v>
      </c>
      <c r="E6" s="30"/>
      <c r="F6" s="34" t="s">
        <v>1016</v>
      </c>
      <c r="G6" s="34" t="s">
        <v>1017</v>
      </c>
      <c r="H6" s="34" t="s">
        <v>1018</v>
      </c>
      <c r="I6" s="34" t="s">
        <v>1019</v>
      </c>
      <c r="J6" s="34" t="s">
        <v>1020</v>
      </c>
      <c r="K6" s="34" t="s">
        <v>1021</v>
      </c>
      <c r="L6" s="34" t="s">
        <v>1022</v>
      </c>
      <c r="M6" s="34" t="s">
        <v>1023</v>
      </c>
      <c r="N6" s="34" t="s">
        <v>1024</v>
      </c>
      <c r="O6" s="34" t="s">
        <v>1025</v>
      </c>
      <c r="P6" s="34" t="s">
        <v>1026</v>
      </c>
      <c r="Q6" s="34" t="s">
        <v>1027</v>
      </c>
      <c r="R6" s="34" t="s">
        <v>1028</v>
      </c>
      <c r="S6" s="34" t="s">
        <v>1029</v>
      </c>
      <c r="T6" s="34" t="s">
        <v>1030</v>
      </c>
      <c r="U6" s="34" t="s">
        <v>1031</v>
      </c>
      <c r="V6" s="34" t="s">
        <v>1032</v>
      </c>
      <c r="W6" s="34" t="s">
        <v>1033</v>
      </c>
      <c r="X6" s="34" t="s">
        <v>1034</v>
      </c>
      <c r="Y6" s="34" t="s">
        <v>1035</v>
      </c>
      <c r="Z6" s="34" t="s">
        <v>1036</v>
      </c>
      <c r="AA6" s="34" t="s">
        <v>1037</v>
      </c>
      <c r="AB6" s="34" t="s">
        <v>1038</v>
      </c>
      <c r="AC6" s="34" t="s">
        <v>1039</v>
      </c>
      <c r="AD6" s="34" t="s">
        <v>1040</v>
      </c>
      <c r="AE6" s="34" t="s">
        <v>1041</v>
      </c>
      <c r="AF6" s="34" t="s">
        <v>1042</v>
      </c>
      <c r="AG6" s="34" t="s">
        <v>1043</v>
      </c>
      <c r="AH6" s="34" t="s">
        <v>1044</v>
      </c>
      <c r="AI6" s="34" t="s">
        <v>1045</v>
      </c>
      <c r="AJ6" s="34" t="s">
        <v>1040</v>
      </c>
      <c r="AK6" s="34" t="s">
        <v>1046</v>
      </c>
      <c r="AL6" s="34" t="s">
        <v>1047</v>
      </c>
      <c r="AM6" s="34" t="s">
        <v>1048</v>
      </c>
      <c r="AN6" s="34" t="s">
        <v>1049</v>
      </c>
      <c r="AO6" s="34" t="s">
        <v>1050</v>
      </c>
      <c r="AP6" s="34" t="s">
        <v>1051</v>
      </c>
      <c r="AQ6" s="34" t="s">
        <v>1052</v>
      </c>
      <c r="AR6" s="34" t="s">
        <v>1053</v>
      </c>
      <c r="AS6" s="34" t="s">
        <v>1054</v>
      </c>
      <c r="AT6" s="34" t="s">
        <v>1055</v>
      </c>
      <c r="AU6" s="34" t="s">
        <v>1056</v>
      </c>
      <c r="AV6" s="34" t="s">
        <v>1057</v>
      </c>
      <c r="AW6" s="34" t="s">
        <v>1058</v>
      </c>
      <c r="AX6" s="34" t="s">
        <v>1059</v>
      </c>
      <c r="AY6" s="34" t="s">
        <v>1043</v>
      </c>
      <c r="AZ6" s="34" t="s">
        <v>1060</v>
      </c>
    </row>
    <row r="7" spans="1:52" customFormat="1" ht="18.75" x14ac:dyDescent="0.25">
      <c r="A7" s="35" t="s">
        <v>103</v>
      </c>
      <c r="B7" s="35" t="s">
        <v>104</v>
      </c>
      <c r="C7" s="35" t="s">
        <v>104</v>
      </c>
      <c r="D7" s="35" t="s">
        <v>104</v>
      </c>
      <c r="E7" s="14"/>
      <c r="F7" s="82" t="s">
        <v>104</v>
      </c>
      <c r="G7" s="82" t="s">
        <v>104</v>
      </c>
      <c r="H7" s="82" t="s">
        <v>104</v>
      </c>
      <c r="I7" s="82" t="s">
        <v>104</v>
      </c>
      <c r="J7" s="82" t="s">
        <v>104</v>
      </c>
      <c r="K7" s="82" t="s">
        <v>104</v>
      </c>
      <c r="L7" s="82" t="s">
        <v>104</v>
      </c>
      <c r="M7" s="82" t="s">
        <v>104</v>
      </c>
      <c r="N7" s="82" t="s">
        <v>104</v>
      </c>
      <c r="O7" s="82" t="s">
        <v>104</v>
      </c>
      <c r="P7" s="82" t="s">
        <v>104</v>
      </c>
      <c r="Q7" s="82" t="s">
        <v>104</v>
      </c>
      <c r="R7" s="82" t="s">
        <v>104</v>
      </c>
      <c r="S7" s="82" t="s">
        <v>104</v>
      </c>
      <c r="T7" s="82" t="s">
        <v>104</v>
      </c>
      <c r="U7" s="82" t="s">
        <v>104</v>
      </c>
      <c r="V7" s="82" t="s">
        <v>104</v>
      </c>
      <c r="W7" s="82" t="s">
        <v>1061</v>
      </c>
      <c r="X7" s="82" t="s">
        <v>104</v>
      </c>
      <c r="Y7" s="82" t="s">
        <v>104</v>
      </c>
      <c r="Z7" s="82" t="s">
        <v>104</v>
      </c>
      <c r="AA7" s="82" t="s">
        <v>104</v>
      </c>
      <c r="AB7" s="82" t="s">
        <v>104</v>
      </c>
      <c r="AC7" s="82" t="s">
        <v>104</v>
      </c>
      <c r="AD7" s="82" t="s">
        <v>104</v>
      </c>
      <c r="AE7" s="82" t="s">
        <v>104</v>
      </c>
      <c r="AF7" s="82" t="s">
        <v>1062</v>
      </c>
      <c r="AG7" s="82" t="s">
        <v>104</v>
      </c>
      <c r="AH7" s="82" t="s">
        <v>104</v>
      </c>
      <c r="AI7" s="82" t="s">
        <v>104</v>
      </c>
      <c r="AJ7" s="82" t="s">
        <v>104</v>
      </c>
      <c r="AK7" s="82" t="s">
        <v>104</v>
      </c>
      <c r="AL7" s="82" t="s">
        <v>104</v>
      </c>
      <c r="AM7" s="82" t="s">
        <v>104</v>
      </c>
      <c r="AN7" s="82" t="s">
        <v>104</v>
      </c>
      <c r="AO7" s="82" t="s">
        <v>104</v>
      </c>
      <c r="AP7" s="82" t="s">
        <v>104</v>
      </c>
      <c r="AQ7" s="82" t="s">
        <v>104</v>
      </c>
      <c r="AR7" s="82" t="s">
        <v>104</v>
      </c>
      <c r="AS7" s="82" t="s">
        <v>104</v>
      </c>
      <c r="AT7" s="82" t="s">
        <v>104</v>
      </c>
      <c r="AU7" s="82" t="s">
        <v>104</v>
      </c>
      <c r="AV7" s="82" t="s">
        <v>104</v>
      </c>
      <c r="AW7" s="82" t="s">
        <v>104</v>
      </c>
      <c r="AX7" s="82" t="s">
        <v>104</v>
      </c>
      <c r="AY7" s="82" t="s">
        <v>104</v>
      </c>
      <c r="AZ7" s="82" t="s">
        <v>104</v>
      </c>
    </row>
    <row r="9" spans="1:52" x14ac:dyDescent="0.25">
      <c r="B9" s="112">
        <v>27182806</v>
      </c>
      <c r="C9" s="112">
        <v>13</v>
      </c>
      <c r="D9">
        <v>502326</v>
      </c>
      <c r="AE9" s="39" t="s">
        <v>1186</v>
      </c>
      <c r="AL9" s="39" t="s">
        <v>1134</v>
      </c>
      <c r="AU9" s="39" t="s">
        <v>1134</v>
      </c>
      <c r="AW9" s="115" t="s">
        <v>1143</v>
      </c>
    </row>
    <row r="10" spans="1:52" x14ac:dyDescent="0.25">
      <c r="B10" s="112">
        <v>27182806</v>
      </c>
      <c r="C10" s="112">
        <v>13</v>
      </c>
      <c r="D10">
        <v>502327</v>
      </c>
      <c r="AE10" s="39" t="s">
        <v>1187</v>
      </c>
      <c r="AL10" s="39" t="s">
        <v>1134</v>
      </c>
      <c r="AU10" s="39" t="s">
        <v>1134</v>
      </c>
      <c r="AW10" s="115" t="s">
        <v>1143</v>
      </c>
    </row>
    <row r="11" spans="1:52" x14ac:dyDescent="0.25">
      <c r="B11" s="112">
        <v>27182806</v>
      </c>
      <c r="C11" s="112">
        <v>13</v>
      </c>
      <c r="D11">
        <v>502328</v>
      </c>
      <c r="AE11" s="39" t="s">
        <v>1188</v>
      </c>
      <c r="AL11" s="39" t="s">
        <v>1134</v>
      </c>
      <c r="AU11" s="39" t="s">
        <v>1134</v>
      </c>
      <c r="AW11" s="115" t="s">
        <v>1143</v>
      </c>
    </row>
    <row r="12" spans="1:52" x14ac:dyDescent="0.25">
      <c r="B12" s="112">
        <v>27182806</v>
      </c>
      <c r="C12" s="112">
        <v>13</v>
      </c>
      <c r="D12">
        <v>502329</v>
      </c>
      <c r="AE12" s="39" t="s">
        <v>1189</v>
      </c>
      <c r="AL12" s="39" t="s">
        <v>1134</v>
      </c>
      <c r="AU12" s="39" t="s">
        <v>1134</v>
      </c>
      <c r="AW12" s="115" t="s">
        <v>1143</v>
      </c>
    </row>
    <row r="13" spans="1:52" x14ac:dyDescent="0.25">
      <c r="B13" s="112">
        <v>27182806</v>
      </c>
      <c r="C13" s="112">
        <v>13</v>
      </c>
      <c r="D13">
        <v>502330</v>
      </c>
      <c r="AE13" s="39" t="s">
        <v>1190</v>
      </c>
      <c r="AL13" s="39" t="s">
        <v>1134</v>
      </c>
      <c r="AU13" s="39" t="s">
        <v>1134</v>
      </c>
      <c r="AW13" s="115" t="s">
        <v>1143</v>
      </c>
    </row>
    <row r="14" spans="1:52" x14ac:dyDescent="0.25">
      <c r="B14" s="112">
        <v>27182806</v>
      </c>
      <c r="C14" s="112">
        <v>13</v>
      </c>
      <c r="D14">
        <v>502331</v>
      </c>
      <c r="AE14" s="39" t="s">
        <v>1191</v>
      </c>
      <c r="AL14" s="39" t="s">
        <v>1134</v>
      </c>
      <c r="AU14" s="39" t="s">
        <v>1134</v>
      </c>
      <c r="AW14" s="115" t="s">
        <v>1143</v>
      </c>
    </row>
    <row r="15" spans="1:52" x14ac:dyDescent="0.25">
      <c r="B15" s="112">
        <v>27182806</v>
      </c>
      <c r="C15" s="112">
        <v>13</v>
      </c>
      <c r="D15">
        <v>502332</v>
      </c>
      <c r="AE15" s="39" t="s">
        <v>1192</v>
      </c>
      <c r="AL15" s="39" t="s">
        <v>1134</v>
      </c>
      <c r="AU15" s="39" t="s">
        <v>1134</v>
      </c>
      <c r="AW15" s="115" t="s">
        <v>1143</v>
      </c>
    </row>
    <row r="16" spans="1:52" x14ac:dyDescent="0.25">
      <c r="B16" s="112">
        <v>27182806</v>
      </c>
      <c r="C16" s="112">
        <v>13</v>
      </c>
      <c r="D16">
        <v>502333</v>
      </c>
      <c r="AE16" s="39" t="s">
        <v>1193</v>
      </c>
      <c r="AL16" s="39" t="s">
        <v>1134</v>
      </c>
      <c r="AU16" s="39" t="s">
        <v>1134</v>
      </c>
      <c r="AW16" s="115" t="s">
        <v>1143</v>
      </c>
    </row>
    <row r="17" spans="2:49" x14ac:dyDescent="0.25">
      <c r="B17" s="112">
        <v>27182806</v>
      </c>
      <c r="C17" s="112">
        <v>13</v>
      </c>
      <c r="D17">
        <v>502334</v>
      </c>
      <c r="AE17" s="39" t="s">
        <v>1194</v>
      </c>
      <c r="AL17" s="39" t="s">
        <v>1134</v>
      </c>
      <c r="AU17" s="39" t="s">
        <v>1134</v>
      </c>
      <c r="AW17" s="115" t="s">
        <v>1143</v>
      </c>
    </row>
    <row r="18" spans="2:49" x14ac:dyDescent="0.25">
      <c r="B18" s="112">
        <v>27182806</v>
      </c>
      <c r="C18" s="112">
        <v>13</v>
      </c>
      <c r="D18">
        <v>502335</v>
      </c>
      <c r="AE18" s="39" t="s">
        <v>1195</v>
      </c>
      <c r="AL18" s="39" t="s">
        <v>1134</v>
      </c>
      <c r="AU18" s="39" t="s">
        <v>1134</v>
      </c>
      <c r="AW18" s="115" t="s">
        <v>1143</v>
      </c>
    </row>
    <row r="19" spans="2:49" x14ac:dyDescent="0.25">
      <c r="B19" s="112">
        <v>27182806</v>
      </c>
      <c r="C19" s="112">
        <v>13</v>
      </c>
      <c r="D19">
        <v>502336</v>
      </c>
      <c r="AE19" s="39" t="s">
        <v>1196</v>
      </c>
      <c r="AL19" s="39" t="s">
        <v>1134</v>
      </c>
      <c r="AU19" s="39" t="s">
        <v>1134</v>
      </c>
      <c r="AW19" s="115" t="s">
        <v>1143</v>
      </c>
    </row>
    <row r="20" spans="2:49" x14ac:dyDescent="0.25">
      <c r="B20" s="112">
        <v>27182806</v>
      </c>
      <c r="C20" s="112">
        <v>13</v>
      </c>
      <c r="D20">
        <v>502337</v>
      </c>
      <c r="AE20" s="39" t="s">
        <v>1197</v>
      </c>
      <c r="AL20" s="39" t="s">
        <v>1134</v>
      </c>
      <c r="AU20" s="39" t="s">
        <v>1134</v>
      </c>
      <c r="AW20" s="115" t="s">
        <v>1143</v>
      </c>
    </row>
    <row r="21" spans="2:49" x14ac:dyDescent="0.25">
      <c r="B21" s="112">
        <v>27182806</v>
      </c>
      <c r="C21" s="112">
        <v>13</v>
      </c>
      <c r="D21">
        <v>502338</v>
      </c>
      <c r="AE21" s="39" t="s">
        <v>1198</v>
      </c>
      <c r="AL21" s="39" t="s">
        <v>1134</v>
      </c>
      <c r="AU21" s="39" t="s">
        <v>1134</v>
      </c>
      <c r="AW21" s="115" t="s">
        <v>1143</v>
      </c>
    </row>
    <row r="22" spans="2:49" x14ac:dyDescent="0.25">
      <c r="B22" s="112">
        <v>27182806</v>
      </c>
      <c r="C22" s="112">
        <v>13</v>
      </c>
      <c r="D22">
        <v>502339</v>
      </c>
      <c r="AE22" s="39" t="s">
        <v>1199</v>
      </c>
      <c r="AL22" s="39" t="s">
        <v>1134</v>
      </c>
      <c r="AU22" s="39" t="s">
        <v>1134</v>
      </c>
      <c r="AW22" s="115" t="s">
        <v>1143</v>
      </c>
    </row>
    <row r="23" spans="2:49" x14ac:dyDescent="0.25">
      <c r="B23" s="112">
        <v>27182806</v>
      </c>
      <c r="C23" s="112">
        <v>13</v>
      </c>
      <c r="D23">
        <v>502340</v>
      </c>
      <c r="AE23" s="39" t="s">
        <v>1200</v>
      </c>
      <c r="AL23" s="39" t="s">
        <v>1134</v>
      </c>
      <c r="AU23" s="39" t="s">
        <v>1134</v>
      </c>
      <c r="AW23" s="115" t="s">
        <v>1143</v>
      </c>
    </row>
    <row r="24" spans="2:49" x14ac:dyDescent="0.25">
      <c r="B24" s="112">
        <v>27182806</v>
      </c>
      <c r="C24" s="112">
        <v>13</v>
      </c>
      <c r="D24">
        <v>502341</v>
      </c>
      <c r="AE24" s="39" t="s">
        <v>1201</v>
      </c>
      <c r="AL24" s="39" t="s">
        <v>1134</v>
      </c>
      <c r="AU24" s="39" t="s">
        <v>1134</v>
      </c>
      <c r="AW24" s="115" t="s">
        <v>1143</v>
      </c>
    </row>
    <row r="25" spans="2:49" x14ac:dyDescent="0.25">
      <c r="B25" s="112">
        <v>27182806</v>
      </c>
      <c r="C25" s="112">
        <v>13</v>
      </c>
      <c r="D25">
        <v>502342</v>
      </c>
      <c r="AE25" s="39" t="s">
        <v>1202</v>
      </c>
      <c r="AL25" s="39" t="s">
        <v>1134</v>
      </c>
      <c r="AU25" s="39" t="s">
        <v>1134</v>
      </c>
      <c r="AW25" s="115" t="s">
        <v>1143</v>
      </c>
    </row>
    <row r="26" spans="2:49" x14ac:dyDescent="0.25">
      <c r="B26" s="112">
        <v>27182806</v>
      </c>
      <c r="C26" s="112">
        <v>13</v>
      </c>
      <c r="D26">
        <v>502343</v>
      </c>
      <c r="AE26" s="39" t="s">
        <v>1203</v>
      </c>
      <c r="AL26" s="39" t="s">
        <v>1134</v>
      </c>
      <c r="AU26" s="39" t="s">
        <v>1134</v>
      </c>
      <c r="AW26" s="115" t="s">
        <v>1143</v>
      </c>
    </row>
    <row r="27" spans="2:49" x14ac:dyDescent="0.25">
      <c r="B27" s="112">
        <v>27182806</v>
      </c>
      <c r="C27" s="112">
        <v>13</v>
      </c>
      <c r="D27">
        <v>502344</v>
      </c>
      <c r="AE27" s="39" t="s">
        <v>1204</v>
      </c>
      <c r="AL27" s="39" t="s">
        <v>1134</v>
      </c>
      <c r="AU27" s="39" t="s">
        <v>1134</v>
      </c>
      <c r="AW27" s="115" t="s">
        <v>1143</v>
      </c>
    </row>
    <row r="28" spans="2:49" x14ac:dyDescent="0.25">
      <c r="B28" s="112">
        <v>27182806</v>
      </c>
      <c r="C28" s="112">
        <v>13</v>
      </c>
      <c r="D28">
        <v>502345</v>
      </c>
      <c r="AE28" s="39" t="s">
        <v>1205</v>
      </c>
      <c r="AL28" s="39" t="s">
        <v>1134</v>
      </c>
      <c r="AU28" s="39" t="s">
        <v>1134</v>
      </c>
      <c r="AW28" s="115" t="s">
        <v>1143</v>
      </c>
    </row>
    <row r="29" spans="2:49" x14ac:dyDescent="0.25">
      <c r="B29" s="112">
        <v>27182806</v>
      </c>
      <c r="C29" s="112">
        <v>13</v>
      </c>
      <c r="D29">
        <v>502346</v>
      </c>
      <c r="AE29" s="39" t="s">
        <v>1206</v>
      </c>
      <c r="AL29" s="39" t="s">
        <v>1134</v>
      </c>
      <c r="AU29" s="39" t="s">
        <v>1134</v>
      </c>
      <c r="AW29" s="115" t="s">
        <v>1143</v>
      </c>
    </row>
    <row r="30" spans="2:49" x14ac:dyDescent="0.25">
      <c r="B30" s="112">
        <v>27182806</v>
      </c>
      <c r="C30" s="112">
        <v>13</v>
      </c>
      <c r="D30">
        <v>502347</v>
      </c>
      <c r="AE30" s="39" t="s">
        <v>1207</v>
      </c>
      <c r="AL30" s="39" t="s">
        <v>1134</v>
      </c>
      <c r="AU30" s="39" t="s">
        <v>1134</v>
      </c>
      <c r="AW30" s="115" t="s">
        <v>1143</v>
      </c>
    </row>
    <row r="31" spans="2:49" x14ac:dyDescent="0.25">
      <c r="B31" s="112">
        <v>27182806</v>
      </c>
      <c r="C31" s="112">
        <v>13</v>
      </c>
      <c r="D31">
        <v>502348</v>
      </c>
      <c r="AE31" s="39" t="s">
        <v>1208</v>
      </c>
      <c r="AL31" s="39" t="s">
        <v>1134</v>
      </c>
      <c r="AU31" s="39" t="s">
        <v>1134</v>
      </c>
      <c r="AW31" s="115" t="s">
        <v>1143</v>
      </c>
    </row>
    <row r="32" spans="2:49" x14ac:dyDescent="0.25">
      <c r="B32" s="112">
        <v>27182806</v>
      </c>
      <c r="C32" s="112">
        <v>13</v>
      </c>
      <c r="D32">
        <v>502349</v>
      </c>
      <c r="AE32" s="39" t="s">
        <v>1209</v>
      </c>
      <c r="AL32" s="39" t="s">
        <v>1134</v>
      </c>
      <c r="AU32" s="39" t="s">
        <v>1134</v>
      </c>
      <c r="AW32" s="115" t="s">
        <v>1143</v>
      </c>
    </row>
    <row r="33" spans="2:49" x14ac:dyDescent="0.25">
      <c r="B33" s="112">
        <v>27182806</v>
      </c>
      <c r="C33" s="112">
        <v>13</v>
      </c>
      <c r="D33">
        <v>502350</v>
      </c>
      <c r="AE33" s="39" t="s">
        <v>1210</v>
      </c>
      <c r="AL33" s="39" t="s">
        <v>1134</v>
      </c>
      <c r="AU33" s="39" t="s">
        <v>1134</v>
      </c>
      <c r="AW33" s="115" t="s">
        <v>1143</v>
      </c>
    </row>
    <row r="34" spans="2:49" x14ac:dyDescent="0.25">
      <c r="B34" s="112">
        <v>27182806</v>
      </c>
      <c r="C34" s="112">
        <v>13</v>
      </c>
      <c r="D34">
        <v>502351</v>
      </c>
      <c r="AE34" s="39" t="s">
        <v>1211</v>
      </c>
      <c r="AL34" s="39" t="s">
        <v>1134</v>
      </c>
      <c r="AU34" s="39" t="s">
        <v>1134</v>
      </c>
      <c r="AW34" s="115" t="s">
        <v>1143</v>
      </c>
    </row>
    <row r="35" spans="2:49" x14ac:dyDescent="0.25">
      <c r="B35" s="112">
        <v>27182806</v>
      </c>
      <c r="C35" s="112">
        <v>13</v>
      </c>
      <c r="D35">
        <v>502352</v>
      </c>
      <c r="AE35" s="39" t="s">
        <v>1212</v>
      </c>
      <c r="AL35" s="39" t="s">
        <v>1134</v>
      </c>
      <c r="AU35" s="39" t="s">
        <v>1134</v>
      </c>
      <c r="AW35" s="115" t="s">
        <v>1143</v>
      </c>
    </row>
    <row r="36" spans="2:49" x14ac:dyDescent="0.25">
      <c r="B36" s="112">
        <v>27182806</v>
      </c>
      <c r="C36" s="112">
        <v>13</v>
      </c>
      <c r="D36">
        <v>502353</v>
      </c>
      <c r="AE36" s="39" t="s">
        <v>1213</v>
      </c>
      <c r="AL36" s="39" t="s">
        <v>1134</v>
      </c>
      <c r="AU36" s="39" t="s">
        <v>1134</v>
      </c>
      <c r="AW36" s="115" t="s">
        <v>1143</v>
      </c>
    </row>
    <row r="37" spans="2:49" x14ac:dyDescent="0.25">
      <c r="B37" s="112">
        <v>27182806</v>
      </c>
      <c r="C37" s="112">
        <v>13</v>
      </c>
      <c r="D37">
        <v>502354</v>
      </c>
      <c r="AE37" s="39" t="s">
        <v>1214</v>
      </c>
      <c r="AL37" s="39" t="s">
        <v>1134</v>
      </c>
      <c r="AU37" s="39" t="s">
        <v>1134</v>
      </c>
      <c r="AW37" s="115" t="s">
        <v>1143</v>
      </c>
    </row>
    <row r="38" spans="2:49" x14ac:dyDescent="0.25">
      <c r="B38" s="112">
        <v>27182806</v>
      </c>
      <c r="C38" s="112">
        <v>13</v>
      </c>
      <c r="D38">
        <v>502355</v>
      </c>
      <c r="AE38" s="39" t="s">
        <v>1215</v>
      </c>
      <c r="AL38" s="39" t="s">
        <v>1134</v>
      </c>
      <c r="AU38" s="39" t="s">
        <v>1134</v>
      </c>
      <c r="AW38" s="115" t="s">
        <v>1143</v>
      </c>
    </row>
    <row r="39" spans="2:49" x14ac:dyDescent="0.25">
      <c r="B39" s="112">
        <v>27182806</v>
      </c>
      <c r="C39" s="112">
        <v>13</v>
      </c>
      <c r="D39">
        <v>502356</v>
      </c>
      <c r="AE39" s="39" t="s">
        <v>1216</v>
      </c>
      <c r="AL39" s="39" t="s">
        <v>1134</v>
      </c>
      <c r="AU39" s="39" t="s">
        <v>1134</v>
      </c>
      <c r="AW39" s="115" t="s">
        <v>1143</v>
      </c>
    </row>
    <row r="40" spans="2:49" x14ac:dyDescent="0.25">
      <c r="B40" s="112">
        <v>27182806</v>
      </c>
      <c r="C40" s="112">
        <v>13</v>
      </c>
      <c r="D40">
        <v>502357</v>
      </c>
      <c r="AE40" s="39" t="s">
        <v>1217</v>
      </c>
      <c r="AL40" s="39" t="s">
        <v>1134</v>
      </c>
      <c r="AU40" s="39" t="s">
        <v>1134</v>
      </c>
      <c r="AW40" s="115" t="s">
        <v>1143</v>
      </c>
    </row>
    <row r="41" spans="2:49" x14ac:dyDescent="0.25">
      <c r="B41" s="112">
        <v>27182806</v>
      </c>
      <c r="C41" s="112">
        <v>13</v>
      </c>
      <c r="D41">
        <v>502358</v>
      </c>
      <c r="AE41" s="39" t="s">
        <v>1218</v>
      </c>
      <c r="AL41" s="39" t="s">
        <v>1134</v>
      </c>
      <c r="AU41" s="39" t="s">
        <v>1134</v>
      </c>
      <c r="AW41" s="115" t="s">
        <v>1143</v>
      </c>
    </row>
    <row r="42" spans="2:49" x14ac:dyDescent="0.25">
      <c r="B42" s="112">
        <v>27182806</v>
      </c>
      <c r="C42" s="112">
        <v>13</v>
      </c>
      <c r="D42">
        <v>502359</v>
      </c>
      <c r="AE42" s="39" t="s">
        <v>1219</v>
      </c>
      <c r="AL42" s="39" t="s">
        <v>1134</v>
      </c>
      <c r="AU42" s="39" t="s">
        <v>1134</v>
      </c>
      <c r="AW42" s="115" t="s">
        <v>1143</v>
      </c>
    </row>
    <row r="43" spans="2:49" x14ac:dyDescent="0.25">
      <c r="B43" s="112">
        <v>27182806</v>
      </c>
      <c r="C43" s="112">
        <v>13</v>
      </c>
      <c r="D43">
        <v>502360</v>
      </c>
      <c r="AE43" s="39" t="s">
        <v>1220</v>
      </c>
      <c r="AL43" s="39" t="s">
        <v>1134</v>
      </c>
      <c r="AU43" s="39" t="s">
        <v>1134</v>
      </c>
      <c r="AW43" s="115" t="s">
        <v>1143</v>
      </c>
    </row>
    <row r="44" spans="2:49" x14ac:dyDescent="0.25">
      <c r="B44" s="112">
        <v>27182806</v>
      </c>
      <c r="C44" s="112">
        <v>13</v>
      </c>
      <c r="D44">
        <v>502361</v>
      </c>
      <c r="AE44" s="39" t="s">
        <v>1221</v>
      </c>
      <c r="AL44" s="39" t="s">
        <v>1134</v>
      </c>
      <c r="AU44" s="39" t="s">
        <v>1134</v>
      </c>
      <c r="AW44" s="115" t="s">
        <v>1143</v>
      </c>
    </row>
    <row r="45" spans="2:49" x14ac:dyDescent="0.25">
      <c r="B45" s="112">
        <v>27182806</v>
      </c>
      <c r="C45" s="112">
        <v>13</v>
      </c>
      <c r="D45">
        <v>502362</v>
      </c>
      <c r="AE45" s="39" t="s">
        <v>1222</v>
      </c>
      <c r="AL45" s="39" t="s">
        <v>1134</v>
      </c>
      <c r="AU45" s="39" t="s">
        <v>1134</v>
      </c>
      <c r="AW45" s="115" t="s">
        <v>1143</v>
      </c>
    </row>
    <row r="46" spans="2:49" x14ac:dyDescent="0.25">
      <c r="B46" s="112">
        <v>27182806</v>
      </c>
      <c r="C46" s="112">
        <v>13</v>
      </c>
      <c r="D46">
        <v>502363</v>
      </c>
      <c r="AE46" s="39" t="s">
        <v>1223</v>
      </c>
      <c r="AL46" s="39" t="s">
        <v>1134</v>
      </c>
      <c r="AU46" s="39" t="s">
        <v>1134</v>
      </c>
      <c r="AW46" s="115" t="s">
        <v>1143</v>
      </c>
    </row>
    <row r="47" spans="2:49" x14ac:dyDescent="0.25">
      <c r="B47" s="112">
        <v>27182806</v>
      </c>
      <c r="C47" s="112">
        <v>13</v>
      </c>
      <c r="D47">
        <v>502364</v>
      </c>
      <c r="AE47" s="39" t="s">
        <v>1224</v>
      </c>
      <c r="AL47" s="39" t="s">
        <v>1134</v>
      </c>
      <c r="AU47" s="39" t="s">
        <v>1134</v>
      </c>
      <c r="AW47" s="115" t="s">
        <v>1143</v>
      </c>
    </row>
    <row r="48" spans="2:49" x14ac:dyDescent="0.25">
      <c r="B48" s="112">
        <v>27182806</v>
      </c>
      <c r="C48" s="112">
        <v>13</v>
      </c>
      <c r="D48">
        <v>502365</v>
      </c>
      <c r="AE48" s="39" t="s">
        <v>1225</v>
      </c>
      <c r="AL48" s="39" t="s">
        <v>1134</v>
      </c>
      <c r="AU48" s="39" t="s">
        <v>1134</v>
      </c>
      <c r="AW48" s="115" t="s">
        <v>1143</v>
      </c>
    </row>
    <row r="49" spans="2:49" x14ac:dyDescent="0.25">
      <c r="B49" s="112">
        <v>27182806</v>
      </c>
      <c r="C49" s="112">
        <v>13</v>
      </c>
      <c r="D49">
        <v>502366</v>
      </c>
      <c r="AE49" s="39" t="s">
        <v>1226</v>
      </c>
      <c r="AL49" s="39" t="s">
        <v>1134</v>
      </c>
      <c r="AU49" s="39" t="s">
        <v>1134</v>
      </c>
      <c r="AW49" s="115" t="s">
        <v>1143</v>
      </c>
    </row>
    <row r="50" spans="2:49" x14ac:dyDescent="0.25">
      <c r="B50" s="112"/>
      <c r="C50" s="112"/>
      <c r="D50"/>
      <c r="AW50" s="115"/>
    </row>
    <row r="51" spans="2:49" x14ac:dyDescent="0.25">
      <c r="B51" s="112"/>
      <c r="C51" s="112"/>
      <c r="D51"/>
      <c r="AW51" s="115"/>
    </row>
    <row r="52" spans="2:49" x14ac:dyDescent="0.25">
      <c r="B52" s="112"/>
      <c r="C52" s="112"/>
      <c r="D52"/>
      <c r="AW52" s="115"/>
    </row>
    <row r="53" spans="2:49" x14ac:dyDescent="0.25">
      <c r="B53" s="112"/>
      <c r="C53" s="112"/>
      <c r="D53"/>
      <c r="AW53" s="115"/>
    </row>
    <row r="54" spans="2:49" x14ac:dyDescent="0.25">
      <c r="B54" s="112"/>
      <c r="C54" s="112"/>
      <c r="D54"/>
      <c r="AW54" s="115"/>
    </row>
    <row r="55" spans="2:49" x14ac:dyDescent="0.25">
      <c r="B55" s="112"/>
      <c r="C55" s="112"/>
      <c r="D55"/>
      <c r="AW55" s="115"/>
    </row>
    <row r="56" spans="2:49" x14ac:dyDescent="0.25">
      <c r="B56" s="112"/>
      <c r="C56" s="112"/>
      <c r="D56"/>
      <c r="AW56" s="115"/>
    </row>
    <row r="57" spans="2:49" x14ac:dyDescent="0.25">
      <c r="B57" s="112"/>
      <c r="C57" s="112"/>
      <c r="D57"/>
      <c r="AW57" s="115"/>
    </row>
    <row r="58" spans="2:49" x14ac:dyDescent="0.25">
      <c r="B58" s="112"/>
      <c r="C58" s="112"/>
      <c r="D58"/>
      <c r="AW58" s="115"/>
    </row>
    <row r="59" spans="2:49" x14ac:dyDescent="0.25">
      <c r="B59" s="112"/>
      <c r="C59" s="112"/>
      <c r="D59"/>
      <c r="AW59" s="115"/>
    </row>
    <row r="60" spans="2:49" x14ac:dyDescent="0.25">
      <c r="B60" s="112"/>
      <c r="C60" s="112"/>
      <c r="D60"/>
      <c r="AW60" s="115"/>
    </row>
    <row r="61" spans="2:49" x14ac:dyDescent="0.25">
      <c r="B61" s="112"/>
      <c r="C61" s="112"/>
      <c r="D61"/>
      <c r="AW61" s="115"/>
    </row>
    <row r="62" spans="2:49" x14ac:dyDescent="0.25">
      <c r="B62" s="112"/>
      <c r="C62" s="112"/>
      <c r="D62"/>
      <c r="AW62" s="115"/>
    </row>
    <row r="63" spans="2:49" x14ac:dyDescent="0.25">
      <c r="B63" s="112"/>
      <c r="C63" s="112"/>
      <c r="D63"/>
      <c r="AW63" s="115"/>
    </row>
  </sheetData>
  <conditionalFormatting sqref="D9 D11:D21">
    <cfRule type="duplicateValues" dxfId="3" priority="1"/>
    <cfRule type="duplicateValues" dxfId="2" priority="2"/>
  </conditionalFormatting>
  <conditionalFormatting sqref="D22:D49">
    <cfRule type="duplicateValues" dxfId="1" priority="3"/>
    <cfRule type="duplicateValues" dxfId="0" priority="4"/>
  </conditionalFormatting>
  <hyperlinks>
    <hyperlink ref="G5" location="AAB451_type_of_mounting_HELP" display="AAB451" xr:uid="{23ECC7BC-1F06-4B82-9DBD-CB0C056A904B}"/>
    <hyperlink ref="R5" location="AAG021_impact_strength_HELP" display="AAG021" xr:uid="{E376C7E5-19F6-48F9-990D-FD104F109833}"/>
    <hyperlink ref="AH5" location="AAW361_protection_type_HELP" display="AAW361" xr:uid="{5E6E7A77-C76C-4A9B-8F3C-2116EB7B53DC}"/>
    <hyperlink ref="AI5" location="AAZ486_degree_of_protection_HELP" display="AAZ486" xr:uid="{7C004DD9-2AC5-4718-B303-F518025DC648}"/>
    <hyperlink ref="AK5" location="BAA351_color_HELP" display="BAA351" xr:uid="{115E2588-379C-4362-BDD6-289BCEF5E7E0}"/>
    <hyperlink ref="AL5" location="BAB664_material_HELP" display="BAB664" xr:uid="{74E24D68-2A49-4783-B426-A326A2E918BF}"/>
    <hyperlink ref="AU5" location="BAF634_material_HELP" display="BAF634" xr:uid="{9B545AFC-B47D-47B6-9861-33738F67170E}"/>
    <hyperlink ref="AW5" location="BAF785_surface_HELP" display="BAF785" xr:uid="{4C545700-7453-424E-AE9A-3508D9DDF782}"/>
    <hyperlink ref="AX5" location="BAG975_degree_of_protection_HELP" display="BAG975" xr:uid="{9BAAA835-9482-4189-B354-4F2155466AC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AE98-391B-4F7C-99D5-B9DD1C5DDFD0}">
  <dimension ref="A1:AW49"/>
  <sheetViews>
    <sheetView topLeftCell="A7" workbookViewId="0">
      <selection activeCell="H14" sqref="H14"/>
    </sheetView>
  </sheetViews>
  <sheetFormatPr defaultColWidth="11.42578125" defaultRowHeight="15" x14ac:dyDescent="0.25"/>
  <cols>
    <col min="1" max="1" width="17.7109375" style="39" customWidth="1"/>
    <col min="2" max="4" width="25.7109375" style="39" customWidth="1"/>
    <col min="5" max="5" width="4.7109375" style="39" customWidth="1"/>
    <col min="6" max="48" width="25.7109375" style="39" customWidth="1"/>
    <col min="49" max="49" width="33.42578125" style="39" customWidth="1"/>
    <col min="50" max="16384" width="11.42578125" style="39"/>
  </cols>
  <sheetData>
    <row r="1" spans="1:49" ht="15.75" thickBot="1" x14ac:dyDescent="0.3"/>
    <row r="2" spans="1:49" customFormat="1" ht="57" thickBot="1" x14ac:dyDescent="0.35">
      <c r="A2" s="106"/>
      <c r="B2" s="10" t="s">
        <v>964</v>
      </c>
      <c r="C2" s="10" t="s">
        <v>964</v>
      </c>
      <c r="D2" s="6" t="s">
        <v>3</v>
      </c>
      <c r="E2" s="11"/>
      <c r="F2" s="7" t="s">
        <v>4</v>
      </c>
      <c r="G2" s="7" t="s">
        <v>4</v>
      </c>
      <c r="H2" s="6" t="s">
        <v>3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4</v>
      </c>
      <c r="S2" s="7" t="s">
        <v>4</v>
      </c>
      <c r="T2" s="7" t="s">
        <v>4</v>
      </c>
      <c r="U2" s="7" t="s">
        <v>4</v>
      </c>
      <c r="V2" s="7" t="s">
        <v>4</v>
      </c>
      <c r="W2" s="7" t="s">
        <v>4</v>
      </c>
      <c r="X2" s="7" t="s">
        <v>4</v>
      </c>
      <c r="Y2" s="7" t="s">
        <v>4</v>
      </c>
      <c r="Z2" s="7" t="s">
        <v>4</v>
      </c>
      <c r="AA2" s="7" t="s">
        <v>4</v>
      </c>
      <c r="AB2" s="7" t="s">
        <v>4</v>
      </c>
      <c r="AC2" s="7" t="s">
        <v>4</v>
      </c>
      <c r="AD2" s="7" t="s">
        <v>4</v>
      </c>
      <c r="AE2" s="7" t="s">
        <v>4</v>
      </c>
      <c r="AF2" s="7" t="s">
        <v>4</v>
      </c>
      <c r="AG2" s="7" t="s">
        <v>4</v>
      </c>
      <c r="AH2" s="7" t="s">
        <v>4</v>
      </c>
      <c r="AI2" s="7" t="s">
        <v>4</v>
      </c>
      <c r="AJ2" s="7" t="s">
        <v>4</v>
      </c>
      <c r="AK2" s="7" t="s">
        <v>4</v>
      </c>
      <c r="AL2" s="7" t="s">
        <v>4</v>
      </c>
      <c r="AM2" s="7" t="s">
        <v>4</v>
      </c>
      <c r="AN2" s="7" t="s">
        <v>4</v>
      </c>
      <c r="AO2" s="7" t="s">
        <v>4</v>
      </c>
      <c r="AP2" s="7" t="s">
        <v>4</v>
      </c>
      <c r="AQ2" s="7" t="s">
        <v>4</v>
      </c>
      <c r="AR2" s="7" t="s">
        <v>4</v>
      </c>
      <c r="AS2" s="7" t="s">
        <v>4</v>
      </c>
      <c r="AT2" s="7" t="s">
        <v>4</v>
      </c>
      <c r="AU2" s="7" t="s">
        <v>4</v>
      </c>
      <c r="AV2" s="7" t="s">
        <v>4</v>
      </c>
    </row>
    <row r="3" spans="1:49" customFormat="1" ht="18.75" x14ac:dyDescent="0.25">
      <c r="A3" s="15"/>
      <c r="B3" s="15" t="s">
        <v>965</v>
      </c>
      <c r="C3" s="15" t="s">
        <v>965</v>
      </c>
      <c r="D3" s="13" t="s">
        <v>8</v>
      </c>
      <c r="E3" s="16"/>
      <c r="F3" s="13" t="s">
        <v>176</v>
      </c>
      <c r="G3" s="13" t="s">
        <v>176</v>
      </c>
      <c r="H3" s="13" t="s">
        <v>8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</row>
    <row r="4" spans="1:49" customFormat="1" ht="37.5" x14ac:dyDescent="0.25">
      <c r="A4" s="20" t="s">
        <v>13</v>
      </c>
      <c r="B4" s="20" t="s">
        <v>966</v>
      </c>
      <c r="C4" s="20" t="s">
        <v>967</v>
      </c>
      <c r="D4" s="19" t="s">
        <v>17</v>
      </c>
      <c r="E4" s="25"/>
      <c r="F4" s="67" t="s">
        <v>179</v>
      </c>
      <c r="G4" s="67" t="s">
        <v>180</v>
      </c>
      <c r="H4" s="19" t="s">
        <v>212</v>
      </c>
      <c r="I4" s="108" t="s">
        <v>1063</v>
      </c>
      <c r="J4" s="70" t="s">
        <v>1064</v>
      </c>
      <c r="K4" s="20" t="s">
        <v>1065</v>
      </c>
      <c r="L4" s="20" t="s">
        <v>1066</v>
      </c>
      <c r="M4" s="20" t="s">
        <v>1067</v>
      </c>
      <c r="N4" s="20" t="s">
        <v>1068</v>
      </c>
      <c r="O4" s="20" t="s">
        <v>1069</v>
      </c>
      <c r="P4" s="20" t="s">
        <v>970</v>
      </c>
      <c r="Q4" s="20" t="s">
        <v>1070</v>
      </c>
      <c r="R4" s="20" t="s">
        <v>1071</v>
      </c>
      <c r="S4" s="20" t="s">
        <v>974</v>
      </c>
      <c r="T4" s="20" t="s">
        <v>1072</v>
      </c>
      <c r="U4" s="20" t="s">
        <v>978</v>
      </c>
      <c r="V4" s="20" t="s">
        <v>979</v>
      </c>
      <c r="W4" s="20" t="s">
        <v>1073</v>
      </c>
      <c r="X4" s="20" t="s">
        <v>984</v>
      </c>
      <c r="Y4" s="20" t="s">
        <v>985</v>
      </c>
      <c r="Z4" s="20" t="s">
        <v>986</v>
      </c>
      <c r="AA4" s="20" t="s">
        <v>987</v>
      </c>
      <c r="AB4" s="20" t="s">
        <v>988</v>
      </c>
      <c r="AC4" s="20" t="s">
        <v>1074</v>
      </c>
      <c r="AD4" s="20" t="s">
        <v>989</v>
      </c>
      <c r="AE4" s="20" t="s">
        <v>1075</v>
      </c>
      <c r="AF4" s="20" t="s">
        <v>1076</v>
      </c>
      <c r="AG4" s="20" t="s">
        <v>1077</v>
      </c>
      <c r="AH4" s="20" t="s">
        <v>280</v>
      </c>
      <c r="AI4" s="20" t="s">
        <v>1078</v>
      </c>
      <c r="AJ4" s="20" t="s">
        <v>1079</v>
      </c>
      <c r="AK4" s="20" t="s">
        <v>998</v>
      </c>
      <c r="AL4" s="20" t="s">
        <v>1080</v>
      </c>
      <c r="AM4" s="20" t="s">
        <v>1081</v>
      </c>
      <c r="AN4" s="20" t="s">
        <v>1082</v>
      </c>
      <c r="AO4" s="20" t="s">
        <v>1083</v>
      </c>
      <c r="AP4" s="20" t="s">
        <v>1084</v>
      </c>
      <c r="AQ4" s="20" t="s">
        <v>1085</v>
      </c>
      <c r="AR4" s="20" t="s">
        <v>1009</v>
      </c>
      <c r="AS4" s="20" t="s">
        <v>1086</v>
      </c>
      <c r="AT4" s="20" t="s">
        <v>1010</v>
      </c>
      <c r="AU4" s="20" t="s">
        <v>1012</v>
      </c>
      <c r="AV4" s="20" t="s">
        <v>1087</v>
      </c>
    </row>
    <row r="5" spans="1:49" customFormat="1" ht="56.25" x14ac:dyDescent="0.25">
      <c r="A5" s="20" t="s">
        <v>48</v>
      </c>
      <c r="B5" s="20" t="s">
        <v>49</v>
      </c>
      <c r="C5" s="20" t="s">
        <v>49</v>
      </c>
      <c r="D5" s="20" t="s">
        <v>17</v>
      </c>
      <c r="E5" s="30"/>
      <c r="F5" s="67" t="s">
        <v>179</v>
      </c>
      <c r="G5" s="67" t="s">
        <v>180</v>
      </c>
      <c r="H5" s="28" t="s">
        <v>212</v>
      </c>
      <c r="I5" s="109" t="s">
        <v>1063</v>
      </c>
      <c r="J5" s="110" t="s">
        <v>1064</v>
      </c>
      <c r="K5" s="20" t="s">
        <v>1065</v>
      </c>
      <c r="L5" s="20" t="s">
        <v>1066</v>
      </c>
      <c r="M5" s="20" t="s">
        <v>1067</v>
      </c>
      <c r="N5" s="20" t="s">
        <v>1068</v>
      </c>
      <c r="O5" s="20" t="s">
        <v>1069</v>
      </c>
      <c r="P5" s="20" t="s">
        <v>970</v>
      </c>
      <c r="Q5" s="20" t="s">
        <v>1070</v>
      </c>
      <c r="R5" s="20" t="s">
        <v>1071</v>
      </c>
      <c r="S5" s="20" t="s">
        <v>974</v>
      </c>
      <c r="T5" s="20" t="s">
        <v>1072</v>
      </c>
      <c r="U5" s="20" t="s">
        <v>978</v>
      </c>
      <c r="V5" s="20" t="s">
        <v>979</v>
      </c>
      <c r="W5" s="20" t="s">
        <v>1073</v>
      </c>
      <c r="X5" s="20" t="s">
        <v>984</v>
      </c>
      <c r="Y5" s="20" t="s">
        <v>985</v>
      </c>
      <c r="Z5" s="20" t="s">
        <v>986</v>
      </c>
      <c r="AA5" s="20" t="s">
        <v>987</v>
      </c>
      <c r="AB5" s="20" t="s">
        <v>988</v>
      </c>
      <c r="AC5" s="28" t="s">
        <v>1074</v>
      </c>
      <c r="AD5" s="28" t="s">
        <v>989</v>
      </c>
      <c r="AE5" s="20" t="s">
        <v>1075</v>
      </c>
      <c r="AF5" s="20" t="s">
        <v>1076</v>
      </c>
      <c r="AG5" s="20" t="s">
        <v>1077</v>
      </c>
      <c r="AH5" s="20" t="s">
        <v>280</v>
      </c>
      <c r="AI5" s="20" t="s">
        <v>1078</v>
      </c>
      <c r="AJ5" s="20" t="s">
        <v>1079</v>
      </c>
      <c r="AK5" s="28" t="s">
        <v>998</v>
      </c>
      <c r="AL5" s="28" t="s">
        <v>1080</v>
      </c>
      <c r="AM5" s="28" t="s">
        <v>1081</v>
      </c>
      <c r="AN5" s="28" t="s">
        <v>1082</v>
      </c>
      <c r="AO5" s="28" t="s">
        <v>1083</v>
      </c>
      <c r="AP5" s="20" t="s">
        <v>1084</v>
      </c>
      <c r="AQ5" s="20" t="s">
        <v>1085</v>
      </c>
      <c r="AR5" s="28" t="s">
        <v>1009</v>
      </c>
      <c r="AS5" s="20" t="s">
        <v>1086</v>
      </c>
      <c r="AT5" s="28" t="s">
        <v>1010</v>
      </c>
      <c r="AU5" s="20" t="s">
        <v>1012</v>
      </c>
      <c r="AV5" s="20" t="s">
        <v>1087</v>
      </c>
    </row>
    <row r="6" spans="1:49" s="34" customFormat="1" ht="375" x14ac:dyDescent="0.25">
      <c r="A6" s="34" t="s">
        <v>65</v>
      </c>
      <c r="B6" s="34" t="s">
        <v>1088</v>
      </c>
      <c r="C6" s="34" t="s">
        <v>1014</v>
      </c>
      <c r="D6" s="34" t="s">
        <v>1015</v>
      </c>
      <c r="E6" s="30"/>
      <c r="F6" s="32" t="s">
        <v>338</v>
      </c>
      <c r="G6" s="32" t="s">
        <v>339</v>
      </c>
      <c r="H6" s="34" t="s">
        <v>368</v>
      </c>
      <c r="I6" s="34" t="s">
        <v>1089</v>
      </c>
      <c r="J6" s="34" t="s">
        <v>1090</v>
      </c>
      <c r="K6" s="34" t="s">
        <v>1091</v>
      </c>
      <c r="L6" s="34" t="s">
        <v>1092</v>
      </c>
      <c r="M6" s="34" t="s">
        <v>1093</v>
      </c>
      <c r="N6" s="34" t="s">
        <v>1094</v>
      </c>
      <c r="O6" s="34" t="s">
        <v>1095</v>
      </c>
      <c r="P6" s="34" t="s">
        <v>1096</v>
      </c>
      <c r="Q6" s="34" t="s">
        <v>1097</v>
      </c>
      <c r="R6" s="34" t="s">
        <v>1098</v>
      </c>
      <c r="S6" s="34" t="s">
        <v>1022</v>
      </c>
      <c r="T6" s="34" t="s">
        <v>1099</v>
      </c>
      <c r="U6" s="34" t="s">
        <v>1026</v>
      </c>
      <c r="V6" s="34" t="s">
        <v>1027</v>
      </c>
      <c r="W6" s="34" t="s">
        <v>1100</v>
      </c>
      <c r="X6" s="34" t="s">
        <v>1032</v>
      </c>
      <c r="Y6" s="34" t="s">
        <v>1033</v>
      </c>
      <c r="Z6" s="34" t="s">
        <v>1034</v>
      </c>
      <c r="AA6" s="34" t="s">
        <v>1035</v>
      </c>
      <c r="AB6" s="34" t="s">
        <v>1036</v>
      </c>
      <c r="AC6" s="34" t="s">
        <v>1101</v>
      </c>
      <c r="AD6" s="34" t="s">
        <v>1102</v>
      </c>
      <c r="AE6" s="34" t="s">
        <v>1103</v>
      </c>
      <c r="AF6" s="34" t="s">
        <v>1104</v>
      </c>
      <c r="AG6" s="34" t="s">
        <v>1105</v>
      </c>
      <c r="AH6" s="34" t="s">
        <v>1043</v>
      </c>
      <c r="AI6" s="34" t="s">
        <v>1106</v>
      </c>
      <c r="AJ6" s="34" t="s">
        <v>1107</v>
      </c>
      <c r="AK6" s="34" t="s">
        <v>1108</v>
      </c>
      <c r="AL6" s="34" t="s">
        <v>1109</v>
      </c>
      <c r="AM6" s="34" t="s">
        <v>1110</v>
      </c>
      <c r="AN6" s="34" t="s">
        <v>1111</v>
      </c>
      <c r="AO6" s="34" t="s">
        <v>1112</v>
      </c>
      <c r="AP6" s="34" t="s">
        <v>1113</v>
      </c>
      <c r="AQ6" s="34" t="s">
        <v>1114</v>
      </c>
      <c r="AR6" s="34" t="s">
        <v>1115</v>
      </c>
      <c r="AS6" s="34" t="s">
        <v>1116</v>
      </c>
      <c r="AT6" s="34" t="s">
        <v>1117</v>
      </c>
      <c r="AU6" s="34" t="s">
        <v>1060</v>
      </c>
      <c r="AV6" s="34" t="s">
        <v>1118</v>
      </c>
      <c r="AW6" s="111"/>
    </row>
    <row r="7" spans="1:49" customFormat="1" ht="18.75" x14ac:dyDescent="0.25">
      <c r="A7" s="35" t="s">
        <v>103</v>
      </c>
      <c r="B7" s="35" t="s">
        <v>104</v>
      </c>
      <c r="C7" s="35" t="s">
        <v>104</v>
      </c>
      <c r="D7" s="35" t="s">
        <v>104</v>
      </c>
      <c r="E7" s="14"/>
      <c r="F7" s="67" t="s">
        <v>104</v>
      </c>
      <c r="G7" s="67" t="s">
        <v>104</v>
      </c>
      <c r="H7" s="35" t="s">
        <v>104</v>
      </c>
      <c r="I7" s="35" t="s">
        <v>104</v>
      </c>
      <c r="J7" s="35" t="s">
        <v>104</v>
      </c>
      <c r="K7" s="35" t="s">
        <v>104</v>
      </c>
      <c r="L7" s="35" t="s">
        <v>108</v>
      </c>
      <c r="M7" s="35" t="s">
        <v>108</v>
      </c>
      <c r="N7" s="35" t="s">
        <v>104</v>
      </c>
      <c r="O7" s="35" t="s">
        <v>104</v>
      </c>
      <c r="P7" s="35" t="s">
        <v>104</v>
      </c>
      <c r="Q7" s="35" t="s">
        <v>104</v>
      </c>
      <c r="R7" s="35" t="s">
        <v>104</v>
      </c>
      <c r="S7" s="35" t="s">
        <v>104</v>
      </c>
      <c r="T7" s="35" t="s">
        <v>108</v>
      </c>
      <c r="U7" s="35" t="s">
        <v>104</v>
      </c>
      <c r="V7" s="35" t="s">
        <v>104</v>
      </c>
      <c r="W7" s="35" t="s">
        <v>104</v>
      </c>
      <c r="X7" s="35" t="s">
        <v>104</v>
      </c>
      <c r="Y7" s="35" t="s">
        <v>1061</v>
      </c>
      <c r="Z7" s="35" t="s">
        <v>104</v>
      </c>
      <c r="AA7" s="35" t="s">
        <v>104</v>
      </c>
      <c r="AB7" s="35" t="s">
        <v>104</v>
      </c>
      <c r="AC7" s="35" t="s">
        <v>104</v>
      </c>
      <c r="AD7" s="35" t="s">
        <v>104</v>
      </c>
      <c r="AE7" s="35" t="s">
        <v>104</v>
      </c>
      <c r="AF7" s="35" t="s">
        <v>104</v>
      </c>
      <c r="AG7" s="35" t="s">
        <v>104</v>
      </c>
      <c r="AH7" s="35" t="s">
        <v>104</v>
      </c>
      <c r="AI7" s="35" t="s">
        <v>104</v>
      </c>
      <c r="AJ7" s="35" t="s">
        <v>108</v>
      </c>
      <c r="AK7" s="35" t="s">
        <v>104</v>
      </c>
      <c r="AL7" s="35" t="s">
        <v>104</v>
      </c>
      <c r="AM7" s="35" t="s">
        <v>104</v>
      </c>
      <c r="AN7" s="35" t="s">
        <v>104</v>
      </c>
      <c r="AO7" s="35" t="s">
        <v>104</v>
      </c>
      <c r="AP7" s="35" t="s">
        <v>104</v>
      </c>
      <c r="AQ7" s="35" t="s">
        <v>104</v>
      </c>
      <c r="AR7" s="35" t="s">
        <v>104</v>
      </c>
      <c r="AS7" s="35" t="s">
        <v>104</v>
      </c>
      <c r="AT7" s="35" t="s">
        <v>104</v>
      </c>
      <c r="AU7" s="35" t="s">
        <v>104</v>
      </c>
      <c r="AV7" s="35" t="s">
        <v>104</v>
      </c>
    </row>
    <row r="8" spans="1:49" x14ac:dyDescent="0.25">
      <c r="B8" s="112"/>
      <c r="J8" s="57"/>
    </row>
    <row r="9" spans="1:49" x14ac:dyDescent="0.25">
      <c r="B9" s="112">
        <v>27182806</v>
      </c>
      <c r="C9" s="112">
        <v>13</v>
      </c>
      <c r="D9">
        <v>502326</v>
      </c>
      <c r="F9" s="39" t="s">
        <v>1446</v>
      </c>
      <c r="H9" s="112"/>
      <c r="I9" s="113" t="s">
        <v>1144</v>
      </c>
    </row>
    <row r="10" spans="1:49" x14ac:dyDescent="0.25">
      <c r="B10" s="112">
        <v>27182806</v>
      </c>
      <c r="C10" s="112">
        <v>13</v>
      </c>
      <c r="D10">
        <v>502327</v>
      </c>
      <c r="F10" s="39" t="s">
        <v>1446</v>
      </c>
      <c r="H10" s="112"/>
      <c r="I10" s="113" t="s">
        <v>1144</v>
      </c>
    </row>
    <row r="11" spans="1:49" x14ac:dyDescent="0.25">
      <c r="B11" s="112">
        <v>27182806</v>
      </c>
      <c r="C11" s="112">
        <v>13</v>
      </c>
      <c r="D11">
        <v>502328</v>
      </c>
      <c r="F11" s="39" t="s">
        <v>1446</v>
      </c>
      <c r="H11" s="112"/>
      <c r="I11" s="113" t="s">
        <v>1144</v>
      </c>
    </row>
    <row r="12" spans="1:49" x14ac:dyDescent="0.25">
      <c r="B12" s="112">
        <v>27182806</v>
      </c>
      <c r="C12" s="112">
        <v>13</v>
      </c>
      <c r="D12">
        <v>502329</v>
      </c>
      <c r="F12" s="39" t="s">
        <v>1446</v>
      </c>
      <c r="H12" s="112"/>
      <c r="I12" s="113" t="s">
        <v>1144</v>
      </c>
    </row>
    <row r="13" spans="1:49" x14ac:dyDescent="0.25">
      <c r="B13" s="112">
        <v>27182806</v>
      </c>
      <c r="C13" s="112">
        <v>13</v>
      </c>
      <c r="D13">
        <v>502330</v>
      </c>
      <c r="F13" s="39" t="s">
        <v>1446</v>
      </c>
      <c r="H13" s="112"/>
      <c r="I13" s="113" t="s">
        <v>1144</v>
      </c>
    </row>
    <row r="14" spans="1:49" x14ac:dyDescent="0.25">
      <c r="B14" s="112">
        <v>27182806</v>
      </c>
      <c r="C14" s="112">
        <v>13</v>
      </c>
      <c r="D14">
        <v>502331</v>
      </c>
      <c r="F14" s="39" t="s">
        <v>1446</v>
      </c>
      <c r="H14" s="112"/>
      <c r="I14" s="113" t="s">
        <v>1144</v>
      </c>
    </row>
    <row r="15" spans="1:49" x14ac:dyDescent="0.25">
      <c r="B15" s="112">
        <v>27182806</v>
      </c>
      <c r="C15" s="112">
        <v>13</v>
      </c>
      <c r="D15">
        <v>502332</v>
      </c>
      <c r="F15" s="39" t="s">
        <v>1446</v>
      </c>
      <c r="H15" s="112"/>
      <c r="I15" s="113" t="s">
        <v>1144</v>
      </c>
    </row>
    <row r="16" spans="1:49" x14ac:dyDescent="0.25">
      <c r="B16" s="112">
        <v>27182806</v>
      </c>
      <c r="C16" s="112">
        <v>13</v>
      </c>
      <c r="D16">
        <v>502333</v>
      </c>
      <c r="F16" s="39" t="s">
        <v>1446</v>
      </c>
      <c r="H16" s="112"/>
      <c r="I16" s="113" t="s">
        <v>1144</v>
      </c>
    </row>
    <row r="17" spans="2:9" x14ac:dyDescent="0.25">
      <c r="B17" s="112">
        <v>27182806</v>
      </c>
      <c r="C17" s="112">
        <v>13</v>
      </c>
      <c r="D17">
        <v>502334</v>
      </c>
      <c r="F17" s="39" t="s">
        <v>1446</v>
      </c>
      <c r="H17" s="112"/>
      <c r="I17" s="113" t="s">
        <v>1144</v>
      </c>
    </row>
    <row r="18" spans="2:9" x14ac:dyDescent="0.25">
      <c r="B18" s="112">
        <v>27182806</v>
      </c>
      <c r="C18" s="112">
        <v>13</v>
      </c>
      <c r="D18">
        <v>502335</v>
      </c>
      <c r="F18" s="39" t="s">
        <v>1446</v>
      </c>
      <c r="H18" s="112"/>
      <c r="I18" s="113" t="s">
        <v>1144</v>
      </c>
    </row>
    <row r="19" spans="2:9" x14ac:dyDescent="0.25">
      <c r="B19" s="112">
        <v>27182806</v>
      </c>
      <c r="C19" s="112">
        <v>13</v>
      </c>
      <c r="D19">
        <v>502336</v>
      </c>
      <c r="F19" s="39" t="s">
        <v>1446</v>
      </c>
      <c r="H19" s="112"/>
      <c r="I19" s="113" t="s">
        <v>1144</v>
      </c>
    </row>
    <row r="20" spans="2:9" x14ac:dyDescent="0.25">
      <c r="B20" s="112">
        <v>27182806</v>
      </c>
      <c r="C20" s="112">
        <v>13</v>
      </c>
      <c r="D20">
        <v>502337</v>
      </c>
      <c r="F20" s="39" t="s">
        <v>1446</v>
      </c>
      <c r="H20" s="112"/>
      <c r="I20" s="113" t="s">
        <v>1144</v>
      </c>
    </row>
    <row r="21" spans="2:9" x14ac:dyDescent="0.25">
      <c r="B21" s="112">
        <v>27182806</v>
      </c>
      <c r="C21" s="112">
        <v>13</v>
      </c>
      <c r="D21">
        <v>502338</v>
      </c>
      <c r="F21" s="39" t="s">
        <v>1446</v>
      </c>
      <c r="H21" s="112"/>
      <c r="I21" s="113" t="s">
        <v>1144</v>
      </c>
    </row>
    <row r="22" spans="2:9" x14ac:dyDescent="0.25">
      <c r="B22" s="112">
        <v>27182806</v>
      </c>
      <c r="C22" s="112">
        <v>13</v>
      </c>
      <c r="D22">
        <v>502339</v>
      </c>
      <c r="F22" s="39" t="s">
        <v>1446</v>
      </c>
      <c r="H22" s="112"/>
      <c r="I22" s="113" t="s">
        <v>1144</v>
      </c>
    </row>
    <row r="23" spans="2:9" x14ac:dyDescent="0.25">
      <c r="B23" s="112">
        <v>27182806</v>
      </c>
      <c r="C23" s="112">
        <v>13</v>
      </c>
      <c r="D23">
        <v>502340</v>
      </c>
      <c r="F23" s="39" t="s">
        <v>1446</v>
      </c>
      <c r="H23" s="112"/>
      <c r="I23" s="113" t="s">
        <v>1144</v>
      </c>
    </row>
    <row r="24" spans="2:9" x14ac:dyDescent="0.25">
      <c r="B24" s="112">
        <v>27182806</v>
      </c>
      <c r="C24" s="112">
        <v>13</v>
      </c>
      <c r="D24">
        <v>502341</v>
      </c>
      <c r="F24" s="39" t="s">
        <v>1446</v>
      </c>
      <c r="H24" s="112"/>
      <c r="I24" s="113" t="s">
        <v>1144</v>
      </c>
    </row>
    <row r="25" spans="2:9" x14ac:dyDescent="0.25">
      <c r="B25" s="112">
        <v>27182806</v>
      </c>
      <c r="C25" s="112">
        <v>13</v>
      </c>
      <c r="D25">
        <v>502342</v>
      </c>
      <c r="F25" s="39" t="s">
        <v>1446</v>
      </c>
      <c r="H25" s="112"/>
      <c r="I25" s="113" t="s">
        <v>1144</v>
      </c>
    </row>
    <row r="26" spans="2:9" x14ac:dyDescent="0.25">
      <c r="B26" s="112">
        <v>27182806</v>
      </c>
      <c r="C26" s="112">
        <v>13</v>
      </c>
      <c r="D26">
        <v>502343</v>
      </c>
      <c r="F26" s="39" t="s">
        <v>1446</v>
      </c>
      <c r="H26" s="112"/>
      <c r="I26" s="113" t="s">
        <v>1144</v>
      </c>
    </row>
    <row r="27" spans="2:9" x14ac:dyDescent="0.25">
      <c r="B27" s="112">
        <v>27182806</v>
      </c>
      <c r="C27" s="112">
        <v>13</v>
      </c>
      <c r="D27">
        <v>502344</v>
      </c>
      <c r="F27" s="39" t="s">
        <v>1446</v>
      </c>
      <c r="H27" s="112"/>
      <c r="I27" s="113" t="s">
        <v>1144</v>
      </c>
    </row>
    <row r="28" spans="2:9" x14ac:dyDescent="0.25">
      <c r="B28" s="112">
        <v>27182806</v>
      </c>
      <c r="C28" s="112">
        <v>13</v>
      </c>
      <c r="D28">
        <v>502345</v>
      </c>
      <c r="F28" s="39" t="s">
        <v>1446</v>
      </c>
      <c r="H28" s="112"/>
      <c r="I28" s="113" t="s">
        <v>1144</v>
      </c>
    </row>
    <row r="29" spans="2:9" x14ac:dyDescent="0.25">
      <c r="B29" s="112">
        <v>27182806</v>
      </c>
      <c r="C29" s="112">
        <v>13</v>
      </c>
      <c r="D29">
        <v>502346</v>
      </c>
      <c r="F29" s="39" t="s">
        <v>1446</v>
      </c>
      <c r="H29" s="112"/>
      <c r="I29" s="113" t="s">
        <v>1144</v>
      </c>
    </row>
    <row r="30" spans="2:9" x14ac:dyDescent="0.25">
      <c r="B30" s="112">
        <v>27182806</v>
      </c>
      <c r="C30" s="112">
        <v>13</v>
      </c>
      <c r="D30">
        <v>502347</v>
      </c>
      <c r="F30" s="39" t="s">
        <v>1446</v>
      </c>
      <c r="H30" s="112"/>
      <c r="I30" s="113" t="s">
        <v>1144</v>
      </c>
    </row>
    <row r="31" spans="2:9" x14ac:dyDescent="0.25">
      <c r="B31" s="112">
        <v>27182806</v>
      </c>
      <c r="C31" s="112">
        <v>13</v>
      </c>
      <c r="D31">
        <v>502348</v>
      </c>
      <c r="F31" s="39" t="s">
        <v>1446</v>
      </c>
      <c r="H31" s="112"/>
      <c r="I31" s="113" t="s">
        <v>1144</v>
      </c>
    </row>
    <row r="32" spans="2:9" x14ac:dyDescent="0.25">
      <c r="B32" s="112">
        <v>27182806</v>
      </c>
      <c r="C32" s="112">
        <v>13</v>
      </c>
      <c r="D32">
        <v>502349</v>
      </c>
      <c r="F32" s="39" t="s">
        <v>1446</v>
      </c>
      <c r="H32" s="112"/>
      <c r="I32" s="113" t="s">
        <v>1144</v>
      </c>
    </row>
    <row r="33" spans="2:9" x14ac:dyDescent="0.25">
      <c r="B33" s="112">
        <v>27182806</v>
      </c>
      <c r="C33" s="112">
        <v>13</v>
      </c>
      <c r="D33">
        <v>502350</v>
      </c>
      <c r="F33" s="39" t="s">
        <v>1446</v>
      </c>
      <c r="H33" s="112"/>
      <c r="I33" s="113" t="s">
        <v>1144</v>
      </c>
    </row>
    <row r="34" spans="2:9" x14ac:dyDescent="0.25">
      <c r="B34" s="112">
        <v>27182806</v>
      </c>
      <c r="C34" s="112">
        <v>13</v>
      </c>
      <c r="D34">
        <v>502351</v>
      </c>
      <c r="F34" s="39" t="s">
        <v>1446</v>
      </c>
      <c r="H34" s="112"/>
      <c r="I34" s="113" t="s">
        <v>1144</v>
      </c>
    </row>
    <row r="35" spans="2:9" x14ac:dyDescent="0.25">
      <c r="B35" s="112">
        <v>27182806</v>
      </c>
      <c r="C35" s="112">
        <v>13</v>
      </c>
      <c r="D35">
        <v>502352</v>
      </c>
      <c r="F35" s="39" t="s">
        <v>1446</v>
      </c>
      <c r="H35" s="112"/>
      <c r="I35" s="113" t="s">
        <v>1144</v>
      </c>
    </row>
    <row r="36" spans="2:9" x14ac:dyDescent="0.25">
      <c r="B36" s="112">
        <v>27182806</v>
      </c>
      <c r="C36" s="112">
        <v>13</v>
      </c>
      <c r="D36">
        <v>502353</v>
      </c>
      <c r="F36" s="39" t="s">
        <v>1446</v>
      </c>
      <c r="H36" s="112"/>
      <c r="I36" s="113" t="s">
        <v>1144</v>
      </c>
    </row>
    <row r="37" spans="2:9" x14ac:dyDescent="0.25">
      <c r="B37" s="112">
        <v>27182806</v>
      </c>
      <c r="C37" s="112">
        <v>13</v>
      </c>
      <c r="D37">
        <v>502354</v>
      </c>
      <c r="F37" s="39" t="s">
        <v>1446</v>
      </c>
      <c r="H37" s="112"/>
      <c r="I37" s="113" t="s">
        <v>1144</v>
      </c>
    </row>
    <row r="38" spans="2:9" x14ac:dyDescent="0.25">
      <c r="B38" s="112">
        <v>27182806</v>
      </c>
      <c r="C38" s="112">
        <v>13</v>
      </c>
      <c r="D38">
        <v>502355</v>
      </c>
      <c r="F38" s="39" t="s">
        <v>1446</v>
      </c>
      <c r="H38" s="112"/>
      <c r="I38" s="113" t="s">
        <v>1144</v>
      </c>
    </row>
    <row r="39" spans="2:9" x14ac:dyDescent="0.25">
      <c r="B39" s="112">
        <v>27182806</v>
      </c>
      <c r="C39" s="112">
        <v>13</v>
      </c>
      <c r="D39">
        <v>502356</v>
      </c>
      <c r="F39" s="39" t="s">
        <v>1446</v>
      </c>
      <c r="H39" s="112"/>
      <c r="I39" s="113" t="s">
        <v>1144</v>
      </c>
    </row>
    <row r="40" spans="2:9" x14ac:dyDescent="0.25">
      <c r="B40" s="112">
        <v>27182806</v>
      </c>
      <c r="C40" s="112">
        <v>13</v>
      </c>
      <c r="D40">
        <v>502357</v>
      </c>
      <c r="F40" s="39" t="s">
        <v>1446</v>
      </c>
      <c r="H40" s="112"/>
      <c r="I40" s="113" t="s">
        <v>1144</v>
      </c>
    </row>
    <row r="41" spans="2:9" x14ac:dyDescent="0.25">
      <c r="B41" s="112">
        <v>27182806</v>
      </c>
      <c r="C41" s="112">
        <v>13</v>
      </c>
      <c r="D41">
        <v>502358</v>
      </c>
      <c r="F41" s="39" t="s">
        <v>1446</v>
      </c>
      <c r="H41" s="112"/>
      <c r="I41" s="113" t="s">
        <v>1144</v>
      </c>
    </row>
    <row r="42" spans="2:9" x14ac:dyDescent="0.25">
      <c r="B42" s="112">
        <v>27182806</v>
      </c>
      <c r="C42" s="112">
        <v>13</v>
      </c>
      <c r="D42">
        <v>502359</v>
      </c>
      <c r="F42" s="39" t="s">
        <v>1446</v>
      </c>
      <c r="H42" s="112"/>
      <c r="I42" s="113" t="s">
        <v>1144</v>
      </c>
    </row>
    <row r="43" spans="2:9" x14ac:dyDescent="0.25">
      <c r="B43" s="112">
        <v>27182806</v>
      </c>
      <c r="C43" s="112">
        <v>13</v>
      </c>
      <c r="D43">
        <v>502360</v>
      </c>
      <c r="F43" s="39" t="s">
        <v>1446</v>
      </c>
      <c r="H43" s="112"/>
      <c r="I43" s="113" t="s">
        <v>1144</v>
      </c>
    </row>
    <row r="44" spans="2:9" x14ac:dyDescent="0.25">
      <c r="B44" s="112">
        <v>27182806</v>
      </c>
      <c r="C44" s="112">
        <v>13</v>
      </c>
      <c r="D44">
        <v>502361</v>
      </c>
      <c r="F44" s="39" t="s">
        <v>1446</v>
      </c>
      <c r="H44" s="112"/>
      <c r="I44" s="113" t="s">
        <v>1144</v>
      </c>
    </row>
    <row r="45" spans="2:9" x14ac:dyDescent="0.25">
      <c r="B45" s="112">
        <v>27182806</v>
      </c>
      <c r="C45" s="112">
        <v>13</v>
      </c>
      <c r="D45">
        <v>502362</v>
      </c>
      <c r="F45" s="39" t="s">
        <v>1446</v>
      </c>
      <c r="H45" s="112"/>
      <c r="I45" s="113" t="s">
        <v>1144</v>
      </c>
    </row>
    <row r="46" spans="2:9" x14ac:dyDescent="0.25">
      <c r="B46" s="112">
        <v>27182806</v>
      </c>
      <c r="C46" s="112">
        <v>13</v>
      </c>
      <c r="D46">
        <v>502363</v>
      </c>
      <c r="F46" s="39" t="s">
        <v>1446</v>
      </c>
      <c r="H46" s="112"/>
      <c r="I46" s="113" t="s">
        <v>1144</v>
      </c>
    </row>
    <row r="47" spans="2:9" x14ac:dyDescent="0.25">
      <c r="B47" s="112">
        <v>27182806</v>
      </c>
      <c r="C47" s="112">
        <v>13</v>
      </c>
      <c r="D47">
        <v>502364</v>
      </c>
      <c r="F47" s="39" t="s">
        <v>1446</v>
      </c>
      <c r="H47" s="112"/>
      <c r="I47" s="113" t="s">
        <v>1144</v>
      </c>
    </row>
    <row r="48" spans="2:9" x14ac:dyDescent="0.25">
      <c r="B48" s="112">
        <v>27182806</v>
      </c>
      <c r="C48" s="112">
        <v>13</v>
      </c>
      <c r="D48">
        <v>502365</v>
      </c>
      <c r="F48" s="39" t="s">
        <v>1446</v>
      </c>
      <c r="H48" s="112"/>
      <c r="I48" s="113" t="s">
        <v>1144</v>
      </c>
    </row>
    <row r="49" spans="2:9" x14ac:dyDescent="0.25">
      <c r="B49" s="112">
        <v>27182806</v>
      </c>
      <c r="C49" s="112">
        <v>13</v>
      </c>
      <c r="D49">
        <v>502366</v>
      </c>
      <c r="F49" s="39" t="s">
        <v>1446</v>
      </c>
      <c r="H49" s="112"/>
      <c r="I49" s="113" t="s">
        <v>1144</v>
      </c>
    </row>
  </sheetData>
  <hyperlinks>
    <hyperlink ref="AC5" location="AAO192_designation_of_battery_HELP" display="AAO192" xr:uid="{07BCFBFC-7B79-442A-845E-FFC1A4345548}"/>
    <hyperlink ref="AD5" location="AAO193_category_HELP" display="AAO193" xr:uid="{ED26883B-4FBF-4174-93AF-DF5828BAD9FA}"/>
    <hyperlink ref="AK5" location="BAB664_material_HELP" display="BAB664" xr:uid="{A94CFEE6-9551-4498-8F92-09C88DC01B38}"/>
    <hyperlink ref="AL5" location="BAB888_design_HELP" display="BAB888" xr:uid="{8D1892F9-DC15-4B6A-A1D6-0822577CF326}"/>
    <hyperlink ref="AM5" location="BAB894_design_HELP" display="BAB894" xr:uid="{9BB0489F-0396-44E4-9FC1-3D7D45A7307D}"/>
    <hyperlink ref="AN5" location="BAB901_Design_HELP" display="BAB901" xr:uid="{485D2570-E489-4A4C-85CE-32A3EE9EBE76}"/>
    <hyperlink ref="AO5" location="BAC000_Construction_form_HELP" display="BAC000" xr:uid="{51402E40-7902-45E8-808A-C85E4BAB0F5F}"/>
    <hyperlink ref="AR5" location="BAF785_surface_HELP" display="BAF785" xr:uid="{AE347DFC-9E2C-4515-B090-809F7DECD74F}"/>
    <hyperlink ref="AT5" location="BAG975_degree_of_protection_HELP" display="BAG975" xr:uid="{4BF485CF-AB20-4717-BC1D-5FAB12F045C6}"/>
    <hyperlink ref="J5" location="explicit_component_type_HELP" display="000038001" xr:uid="{C889B4E5-36D8-4C88-BF48-A04F9C9DAFC2}"/>
    <hyperlink ref="H5" location="CNS_COMPONENT_FUNCTION_3D_HELP" display="CNS_COMPONENT_FUNCTION_3D" xr:uid="{EBD3327E-B9CF-4FA0-8EBC-25BB9F3DDFE9}"/>
    <hyperlink ref="I10" r:id="rId1" xr:uid="{377868BE-1AA9-4C01-AA3E-32B5AAA8D433}"/>
    <hyperlink ref="I11" r:id="rId2" xr:uid="{CDF576A6-E828-4222-847D-EBA88B009B90}"/>
    <hyperlink ref="I12" r:id="rId3" xr:uid="{3765D898-F48C-4972-998C-24420EEAECAA}"/>
    <hyperlink ref="I9" r:id="rId4" xr:uid="{1330D57D-ABA4-443D-A13D-10AB4BAB53BE}"/>
    <hyperlink ref="I13" r:id="rId5" xr:uid="{55D1E064-E9F9-41EF-B086-0CDE6949D7AA}"/>
    <hyperlink ref="I14" r:id="rId6" xr:uid="{857ADDFC-8B53-4575-B67A-EDB9916ECDE2}"/>
    <hyperlink ref="I17" r:id="rId7" xr:uid="{7D49E8A2-88C1-43CC-89DE-9270FAB5B98F}"/>
    <hyperlink ref="I18" r:id="rId8" xr:uid="{F67E88CD-1D62-44F2-AD40-7A32EB51542C}"/>
    <hyperlink ref="I19" r:id="rId9" xr:uid="{29EC430A-F68A-49C8-8DFD-3A937C28CE7E}"/>
    <hyperlink ref="I15" r:id="rId10" xr:uid="{15498A4B-69AB-4724-870A-8A37195A8956}"/>
    <hyperlink ref="I16" r:id="rId11" xr:uid="{B8550315-0823-4633-BDB3-BE765C4DFA14}"/>
    <hyperlink ref="I20" r:id="rId12" xr:uid="{6CDBC8D5-9B13-46E2-8B0E-12F25C741E52}"/>
    <hyperlink ref="I21" r:id="rId13" xr:uid="{6741CCE6-E511-4EEB-AF91-6C6BFD1A69A7}"/>
    <hyperlink ref="I24" r:id="rId14" xr:uid="{B80E9EEB-112D-4A4C-80DD-71D32566F2B8}"/>
    <hyperlink ref="I25" r:id="rId15" xr:uid="{0663BA1C-6340-44B2-A10D-9EA24D05102A}"/>
    <hyperlink ref="I26" r:id="rId16" xr:uid="{12D85446-05F0-431A-BDB7-FDDF08692AD1}"/>
    <hyperlink ref="I22" r:id="rId17" xr:uid="{D57D2529-87F6-4FDD-B46F-5879A7EBCE21}"/>
    <hyperlink ref="I23" r:id="rId18" xr:uid="{21E7E48D-C1D7-4F72-BDAA-24EEF1191ECB}"/>
    <hyperlink ref="I34" r:id="rId19" xr:uid="{B2C63B29-2C01-40A8-B751-4D68A4D9A790}"/>
    <hyperlink ref="I35" r:id="rId20" xr:uid="{59E8F753-2704-4071-8682-524FDBA5504B}"/>
    <hyperlink ref="I36" r:id="rId21" xr:uid="{FC5E1EB9-D6CD-4AE2-8B02-B7564AA4D69C}"/>
    <hyperlink ref="I33" r:id="rId22" xr:uid="{5F8695DD-E76F-4D33-A120-5FA45D75BA7E}"/>
    <hyperlink ref="I37" r:id="rId23" xr:uid="{9CEB764D-2FD2-4B0C-B8EB-DF16AA3A44CD}"/>
    <hyperlink ref="I38" r:id="rId24" xr:uid="{70922A6D-A40D-4848-83F9-F3F1A445EE3D}"/>
    <hyperlink ref="I39" r:id="rId25" xr:uid="{EB1EC709-491C-4DDD-A248-EFA6EB91E3BA}"/>
    <hyperlink ref="I40" r:id="rId26" xr:uid="{D1900024-0420-4F98-8196-4CA435BDCE19}"/>
    <hyperlink ref="I27" r:id="rId27" xr:uid="{F8FE7892-8542-49FA-A554-741512AB6A25}"/>
    <hyperlink ref="I28" r:id="rId28" xr:uid="{ED53495F-AED2-445B-A85E-442CD61D383C}"/>
    <hyperlink ref="I29" r:id="rId29" xr:uid="{22D102D1-6AA6-4C74-A4E4-7F2817B5D900}"/>
    <hyperlink ref="I30" r:id="rId30" xr:uid="{9207A367-BC78-459D-87EC-F243C7F65964}"/>
    <hyperlink ref="I31" r:id="rId31" xr:uid="{FFC11388-6E98-478F-9AA4-5E2FB7CCF8C3}"/>
    <hyperlink ref="I32" r:id="rId32" xr:uid="{5CE18E7B-CBCE-451F-9F09-F2A7D0455960}"/>
    <hyperlink ref="I41" r:id="rId33" xr:uid="{E7B850F6-8412-4B96-9689-BF2D7F2A2908}"/>
    <hyperlink ref="I42" r:id="rId34" xr:uid="{102D9551-BC21-41D9-ADC2-73AECC185A7B}"/>
    <hyperlink ref="I43" r:id="rId35" xr:uid="{0782AACB-3266-47B7-A98D-A960E9E82250}"/>
    <hyperlink ref="I44" r:id="rId36" xr:uid="{94860821-9028-42D4-94FE-1E5EE6A364C6}"/>
    <hyperlink ref="I45" r:id="rId37" xr:uid="{8B4AF2E7-1ABB-4250-B753-FACBABF1086E}"/>
    <hyperlink ref="I46" r:id="rId38" xr:uid="{6DE180E8-5529-4437-9941-9AA695D9B887}"/>
    <hyperlink ref="I47" r:id="rId39" xr:uid="{CD2F4C66-AD4F-4E5E-8122-545139D821DE}"/>
    <hyperlink ref="I48" r:id="rId40" xr:uid="{D733B09E-C340-4DA5-BB5D-7092F7CA7AC5}"/>
    <hyperlink ref="I49" r:id="rId41" xr:uid="{BAA575D1-0275-4410-9F8A-D2BC1656B7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 Data</vt:lpstr>
      <vt:lpstr>Additional Documents</vt:lpstr>
      <vt:lpstr>Connection Point Information</vt:lpstr>
      <vt:lpstr>Product Accessory</vt:lpstr>
      <vt:lpstr>Help</vt:lpstr>
      <vt:lpstr>cabinet</vt:lpstr>
      <vt:lpstr>cabinet.mechanical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Kolobarić Damir</dc:creator>
  <cp:lastModifiedBy>Damir Kolobarić</cp:lastModifiedBy>
  <dcterms:created xsi:type="dcterms:W3CDTF">2015-06-05T18:17:20Z</dcterms:created>
  <dcterms:modified xsi:type="dcterms:W3CDTF">2026-05-29T06:24:49Z</dcterms:modified>
</cp:coreProperties>
</file>