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plan podaci\EATON\2026\E6\"/>
    </mc:Choice>
  </mc:AlternateContent>
  <xr:revisionPtr revIDLastSave="0" documentId="13_ncr:1_{6C5F8C0E-C53C-4A1A-86E4-C665D15BB157}" xr6:coauthVersionLast="47" xr6:coauthVersionMax="47" xr10:uidLastSave="{00000000-0000-0000-0000-000000000000}"/>
  <bookViews>
    <workbookView xWindow="-28920" yWindow="-120" windowWidth="29040" windowHeight="15720" activeTab="2" xr2:uid="{A052B598-E22B-4FF4-8DCA-95E91409AF02}"/>
  </bookViews>
  <sheets>
    <sheet name="Material Master Data" sheetId="1" r:id="rId1"/>
    <sheet name="Additional Documents" sheetId="2" r:id="rId2"/>
    <sheet name="Connection Point Information" sheetId="3" r:id="rId3"/>
    <sheet name="Product Accessory" sheetId="4" r:id="rId4"/>
    <sheet name="contactor a. fus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1" l="1"/>
  <c r="M28" i="1"/>
  <c r="M27" i="1"/>
  <c r="M25" i="1"/>
  <c r="M24" i="1"/>
  <c r="M23" i="1"/>
  <c r="M21" i="1"/>
  <c r="M20" i="1"/>
  <c r="M19" i="1"/>
  <c r="M17" i="1"/>
  <c r="M16" i="1"/>
  <c r="M15" i="1"/>
  <c r="M13" i="1"/>
  <c r="M12" i="1"/>
  <c r="M11" i="1"/>
</calcChain>
</file>

<file path=xl/sharedStrings.xml><?xml version="1.0" encoding="utf-8"?>
<sst xmlns="http://schemas.openxmlformats.org/spreadsheetml/2006/main" count="2980" uniqueCount="680">
  <si>
    <t>Classification according to MultiECAD / ECLASS Advanced</t>
  </si>
  <si>
    <t>Applies to ECLASS numbers (v9/v10/v11/v12/v13)</t>
  </si>
  <si>
    <t>Not to be filled in for cable PDT</t>
  </si>
  <si>
    <t>Must field</t>
  </si>
  <si>
    <t>Optional field</t>
  </si>
  <si>
    <t>Should field</t>
  </si>
  <si>
    <t xml:space="preserve">Must field if not already available in the catalog otherways notice attribute name in CADENAS eCATALOGsolutions
</t>
  </si>
  <si>
    <t>Optional</t>
  </si>
  <si>
    <t>Material Master Data</t>
  </si>
  <si>
    <t>Description DE</t>
  </si>
  <si>
    <t>Description EN</t>
  </si>
  <si>
    <t>Size</t>
  </si>
  <si>
    <t>Product property</t>
  </si>
  <si>
    <t>ECLASS property</t>
  </si>
  <si>
    <t>AAO677</t>
  </si>
  <si>
    <t>MANUFACTURER_URL</t>
  </si>
  <si>
    <t>AAQ326</t>
  </si>
  <si>
    <t>AAO676</t>
  </si>
  <si>
    <t>AAV774/AAO057</t>
  </si>
  <si>
    <t>CERTIFICATION</t>
  </si>
  <si>
    <t>AAO663</t>
  </si>
  <si>
    <t>AAN743</t>
  </si>
  <si>
    <t>AAD931</t>
  </si>
  <si>
    <t>Enter General table name</t>
  </si>
  <si>
    <t>CNS_ELECTRO_MATERIAL</t>
  </si>
  <si>
    <t>AAF040</t>
  </si>
  <si>
    <t>BAD875</t>
  </si>
  <si>
    <t>AAY811</t>
  </si>
  <si>
    <t>AAO057</t>
  </si>
  <si>
    <t>AAW338</t>
  </si>
  <si>
    <t>AAY812</t>
  </si>
  <si>
    <t>AAU731</t>
  </si>
  <si>
    <t>AAU732</t>
  </si>
  <si>
    <t>AAU733</t>
  </si>
  <si>
    <t>AAU734</t>
  </si>
  <si>
    <t>ABA671</t>
  </si>
  <si>
    <t>CNS_DESCRIPTION_LONG / AAU734</t>
  </si>
  <si>
    <t>CNS_DESCRIPTION_SHORT</t>
  </si>
  <si>
    <t>BAB577</t>
  </si>
  <si>
    <t>BAF016</t>
  </si>
  <si>
    <t>BAA020</t>
  </si>
  <si>
    <t>AAC314</t>
  </si>
  <si>
    <t>AAC341</t>
  </si>
  <si>
    <t>ABC244</t>
  </si>
  <si>
    <t>AAO336</t>
  </si>
  <si>
    <t>AAS441</t>
  </si>
  <si>
    <t>AAS442</t>
  </si>
  <si>
    <t>AAS443</t>
  </si>
  <si>
    <t>Variable name (CNS internal)</t>
  </si>
  <si>
    <t>Only Classification</t>
  </si>
  <si>
    <t>CNSORDERNO</t>
  </si>
  <si>
    <t>CNSTYPECODE</t>
  </si>
  <si>
    <t>CNS_EAN</t>
  </si>
  <si>
    <t>CNS_CTN</t>
  </si>
  <si>
    <t>CNS_MASSEXACT</t>
  </si>
  <si>
    <t>00001C001</t>
  </si>
  <si>
    <t>IEC_81346_2_SUBCLASS_CODE</t>
  </si>
  <si>
    <t>IEC_81346_2_SUBCLASS_CODE_3</t>
  </si>
  <si>
    <t>CNS_MOUNTING_ORIENTATION</t>
  </si>
  <si>
    <t>CNS_ROTATION_ON_THE_HORIZONTAL_AXIS_MIN</t>
  </si>
  <si>
    <t>CNS_ROTATION_ON_THE_HORIZONTAL_AXIS_MAX</t>
  </si>
  <si>
    <t>CNS_ROTATION_ON_THE_VERTICAL_AXIS_MIN</t>
  </si>
  <si>
    <t>CNS_ROTATION_ON_THE_VERTICAL_AXIS_MAX</t>
  </si>
  <si>
    <t>CNS_ROTATION_OF_THE_MOUNTING_PLATFORM_MIN</t>
  </si>
  <si>
    <t>CNS_ROTATION_OF_THE_MOUNTING_PLATFORM_MAX</t>
  </si>
  <si>
    <t xml:space="preserve">English variable  description </t>
  </si>
  <si>
    <t>Manufacturer name</t>
  </si>
  <si>
    <r>
      <t>Manufacturer's web address</t>
    </r>
    <r>
      <rPr>
        <b/>
        <sz val="13"/>
        <color theme="1"/>
        <rFont val="Aptos Narrow"/>
        <family val="2"/>
        <scheme val="minor"/>
      </rPr>
      <t xml:space="preserve"> 
</t>
    </r>
    <r>
      <rPr>
        <sz val="13"/>
        <color theme="1"/>
        <rFont val="Aptos Narrow"/>
        <family val="2"/>
        <scheme val="minor"/>
      </rPr>
      <t>(Main product webpage of vendor)</t>
    </r>
  </si>
  <si>
    <t>Product specific web address</t>
  </si>
  <si>
    <t>Articlenumber</t>
  </si>
  <si>
    <t>Typecode</t>
  </si>
  <si>
    <t>Certificates</t>
  </si>
  <si>
    <t>GTIN</t>
  </si>
  <si>
    <t>EAN</t>
  </si>
  <si>
    <t>Customs tariff number</t>
  </si>
  <si>
    <t>value for custom table</t>
  </si>
  <si>
    <r>
      <t xml:space="preserve">Material  (insert number or the name of the material, in common 61 values possible )
</t>
    </r>
    <r>
      <rPr>
        <sz val="14"/>
        <color theme="1"/>
        <rFont val="Aptos Narrow"/>
        <family val="2"/>
        <scheme val="minor"/>
      </rPr>
      <t>1 - Plastic
2 - GRP
3 - PVC
4 - galvanic/electrolytic zinc plated
5 - Polystyrene (PS)
6 - ABS
7 - Acrylic
8 - Agate
9 - Aluminium die casting
…</t>
    </r>
  </si>
  <si>
    <t>Weight /Mass (netto)</t>
  </si>
  <si>
    <t>Net weight</t>
  </si>
  <si>
    <t>URI of the product (string)</t>
  </si>
  <si>
    <t>Product type (string)</t>
  </si>
  <si>
    <t>Manufacturer product designation (string)</t>
  </si>
  <si>
    <t>GLN of manufacturer (integer)</t>
  </si>
  <si>
    <t>Manufacturer product family (string)</t>
  </si>
  <si>
    <t>Manufacturer product base (string)</t>
  </si>
  <si>
    <t xml:space="preserve">Manufacturer product order suffix (string)
</t>
  </si>
  <si>
    <t>Manufacturer product description (string)</t>
  </si>
  <si>
    <t>product identifier (string)</t>
  </si>
  <si>
    <r>
      <t xml:space="preserve">Product description long </t>
    </r>
    <r>
      <rPr>
        <sz val="14"/>
        <color theme="1"/>
        <rFont val="Aptos Narrow"/>
        <family val="2"/>
        <scheme val="minor"/>
      </rPr>
      <t>(if not available could be mapped with Variable [NB] )</t>
    </r>
  </si>
  <si>
    <t>Product description short</t>
  </si>
  <si>
    <r>
      <t xml:space="preserve">Depth
</t>
    </r>
    <r>
      <rPr>
        <sz val="13"/>
        <color theme="1"/>
        <rFont val="Aptos Narrow"/>
        <family val="2"/>
        <scheme val="minor"/>
      </rPr>
      <t>(otherwais calculated from the bounding box)</t>
    </r>
  </si>
  <si>
    <r>
      <t xml:space="preserve">Width
</t>
    </r>
    <r>
      <rPr>
        <sz val="13"/>
        <color theme="1"/>
        <rFont val="Aptos Narrow"/>
        <family val="2"/>
        <scheme val="minor"/>
      </rPr>
      <t>(otherwais calculated from the bounding box)</t>
    </r>
  </si>
  <si>
    <r>
      <t xml:space="preserve">Height
</t>
    </r>
    <r>
      <rPr>
        <sz val="13"/>
        <color theme="1"/>
        <rFont val="Aptos Narrow"/>
        <family val="2"/>
        <scheme val="minor"/>
      </rPr>
      <t>(otherwais calculated from the bounding box)</t>
    </r>
  </si>
  <si>
    <r>
      <t xml:space="preserve">Class code level 1 (IEC 81346-2) </t>
    </r>
    <r>
      <rPr>
        <sz val="14"/>
        <color theme="1"/>
        <rFont val="Aptos Narrow"/>
        <family val="2"/>
        <scheme val="minor"/>
      </rPr>
      <t>(otherwise from config)</t>
    </r>
  </si>
  <si>
    <t>Class code level 2 (IEC 81346-2)</t>
  </si>
  <si>
    <t>Class code level 3 (IEC 81346-2)</t>
  </si>
  <si>
    <r>
      <t xml:space="preserve">Mounting Orientation
</t>
    </r>
    <r>
      <rPr>
        <sz val="14"/>
        <color theme="1"/>
        <rFont val="Aptos Narrow"/>
        <family val="2"/>
        <scheme val="minor"/>
      </rPr>
      <t>1 - horizontal
2 - vertical down
3 - vertical up
4 - vertical</t>
    </r>
  </si>
  <si>
    <t>Rotation on the horizontal axis (MIN)</t>
  </si>
  <si>
    <t>Rotation on the horizontal axis (MAX)</t>
  </si>
  <si>
    <t>Rotation on the vertical axis (MIN)</t>
  </si>
  <si>
    <t>Rotation on the vertical axis (MAX)</t>
  </si>
  <si>
    <t>Rotation of the mounting platform (MIN)</t>
  </si>
  <si>
    <t>Rotation of the mounting platform (MAX)</t>
  </si>
  <si>
    <t>Units</t>
  </si>
  <si>
    <t>-</t>
  </si>
  <si>
    <t>Enter unit</t>
  </si>
  <si>
    <t>kg</t>
  </si>
  <si>
    <t>g</t>
  </si>
  <si>
    <t>mm</t>
  </si>
  <si>
    <t>°</t>
  </si>
  <si>
    <t>ClassId</t>
  </si>
  <si>
    <t>CNSELEK|5|1</t>
  </si>
  <si>
    <t>Priority</t>
  </si>
  <si>
    <t>Must field if documents are added</t>
  </si>
  <si>
    <t>Optional field
INTERNAL
(für Buchi)</t>
  </si>
  <si>
    <t>Type</t>
  </si>
  <si>
    <t>Document information</t>
  </si>
  <si>
    <t>PropertyId</t>
  </si>
  <si>
    <t>Document ID</t>
  </si>
  <si>
    <t>Document type</t>
  </si>
  <si>
    <t>Document path</t>
  </si>
  <si>
    <t>Document</t>
  </si>
  <si>
    <t>Document index</t>
  </si>
  <si>
    <t>Description</t>
  </si>
  <si>
    <t>Parent Entity</t>
  </si>
  <si>
    <t>PropertyName</t>
  </si>
  <si>
    <t>00001B001</t>
  </si>
  <si>
    <t>000026001</t>
  </si>
  <si>
    <t>CNS_DATASHEET_INDEX</t>
  </si>
  <si>
    <t>CNS_DATASHEET_DESCRIPTION</t>
  </si>
  <si>
    <t>Document ID (if there are more than one document for one product)</t>
  </si>
  <si>
    <t xml:space="preserve">Document type
-pdf
-jpg
-png
-dxf
</t>
  </si>
  <si>
    <t>Document path (default language)
- local import path /hyperlink
CNSELEK|5|1</t>
  </si>
  <si>
    <t>Document Language
CNSELEK|5|1</t>
  </si>
  <si>
    <t>Document index
CNSELEK|5|1</t>
  </si>
  <si>
    <t>Document description (current Language)
CNSELEK|5|1</t>
  </si>
  <si>
    <t>Parent Entity
CNSELEK|5|4Parent Class Type” (00004B001)</t>
  </si>
  <si>
    <t>Body</t>
  </si>
  <si>
    <t>german</t>
  </si>
  <si>
    <t>english</t>
  </si>
  <si>
    <t>CNS_CP|4|3</t>
  </si>
  <si>
    <t>NEU</t>
  </si>
  <si>
    <t>CNS_CP|4|7</t>
  </si>
  <si>
    <t>CNS_CP_AREA_BOX</t>
  </si>
  <si>
    <t>CNS_CP|4|6</t>
  </si>
  <si>
    <t>CNS_CP|4|15|3</t>
  </si>
  <si>
    <t>CNSELEK|5|9|1</t>
  </si>
  <si>
    <t>CNSELEK|5|6|1|1</t>
  </si>
  <si>
    <t>CNS_CP|4|2</t>
  </si>
  <si>
    <t>CNS_CP|4|8</t>
  </si>
  <si>
    <t>CNS_CP|4|14</t>
  </si>
  <si>
    <t>CNS_CP|4|16</t>
  </si>
  <si>
    <t>CNS_CP|4|15|1</t>
  </si>
  <si>
    <t>CNS_CP|4|15|2</t>
  </si>
  <si>
    <t>Domain</t>
  </si>
  <si>
    <t>to be filled in for *Connection</t>
  </si>
  <si>
    <t>ECP, Plug, Pneumatic, Prozess, Hydraulic, Mechanic, Optical, Plug Element</t>
  </si>
  <si>
    <t>ECP</t>
  </si>
  <si>
    <t>ECP, Plug, Pneumatic, Prozess, Hydraulic, Mechanic, Optical</t>
  </si>
  <si>
    <t>*</t>
  </si>
  <si>
    <t xml:space="preserve">MD
</t>
  </si>
  <si>
    <t>MD</t>
  </si>
  <si>
    <t>BAR</t>
  </si>
  <si>
    <t>MP</t>
  </si>
  <si>
    <t>MP-Area</t>
  </si>
  <si>
    <t>GRD</t>
  </si>
  <si>
    <t>Rated Values</t>
  </si>
  <si>
    <t>ECP/GeomSpec</t>
  </si>
  <si>
    <t>Drill</t>
  </si>
  <si>
    <t>PLUG</t>
  </si>
  <si>
    <t>Plug Element (Terminal)</t>
  </si>
  <si>
    <t>Pneumatic, Hydraulic</t>
  </si>
  <si>
    <t>Actuation Vector</t>
  </si>
  <si>
    <t>ALAB / Labelling Area</t>
  </si>
  <si>
    <t>ARES / Restricted Area</t>
  </si>
  <si>
    <t>This tab is not to be filled in for cable PDT, please use "wire ID information" tab instead.
Also not to be filled in for subcircuit PDT.</t>
  </si>
  <si>
    <t xml:space="preserve">Must field only if coordinates are available
</t>
  </si>
  <si>
    <t xml:space="preserve">Must field 
</t>
  </si>
  <si>
    <t>Must Field if available if not created from ECADPORT</t>
  </si>
  <si>
    <t xml:space="preserve">Must field
</t>
  </si>
  <si>
    <r>
      <t xml:space="preserve">Optional field
</t>
    </r>
    <r>
      <rPr>
        <sz val="14"/>
        <color rgb="FFFF0000"/>
        <rFont val="Aptos Narrow"/>
        <family val="2"/>
        <scheme val="minor"/>
      </rPr>
      <t>(only one of the columns must be filled in)</t>
    </r>
  </si>
  <si>
    <t>TYPE</t>
  </si>
  <si>
    <t>Project Handling</t>
  </si>
  <si>
    <t>None</t>
  </si>
  <si>
    <t>CNS_PROJECT_PATH</t>
  </si>
  <si>
    <t>CNS_CONDITION</t>
  </si>
  <si>
    <t>AAC342</t>
  </si>
  <si>
    <t>AAN342</t>
  </si>
  <si>
    <t>AAN341</t>
  </si>
  <si>
    <t>AAN497</t>
  </si>
  <si>
    <t>AAM734</t>
  </si>
  <si>
    <t>AAN496</t>
  </si>
  <si>
    <t>AAB754</t>
  </si>
  <si>
    <t>AAC338</t>
  </si>
  <si>
    <t>AAC338_CD</t>
  </si>
  <si>
    <t>AAM479</t>
  </si>
  <si>
    <t>AAC338_SR</t>
  </si>
  <si>
    <t>AAS191</t>
  </si>
  <si>
    <t>Mounting description</t>
  </si>
  <si>
    <t>Link MD</t>
  </si>
  <si>
    <t>barred/restricted Area, Length (Y)</t>
  </si>
  <si>
    <t>barred/restricted Area, Width (X)</t>
  </si>
  <si>
    <t>barred/restricted Area, Height (Z)</t>
  </si>
  <si>
    <t>AAM654</t>
  </si>
  <si>
    <t>barred/restricted Area, Translate X</t>
  </si>
  <si>
    <t>barred/restricted Area, Translate Y</t>
  </si>
  <si>
    <t>barred/restricted Area, Translate Z</t>
  </si>
  <si>
    <t>AAN575</t>
  </si>
  <si>
    <t>AAN576</t>
  </si>
  <si>
    <t>AAN472</t>
  </si>
  <si>
    <t>AAN577</t>
  </si>
  <si>
    <t>AAN608</t>
  </si>
  <si>
    <t>00006F001</t>
  </si>
  <si>
    <t>000070001</t>
  </si>
  <si>
    <t>CNS_AREA_EXTENSION_U</t>
  </si>
  <si>
    <t>CNS_AREA_EXTENSION_V</t>
  </si>
  <si>
    <t>CNS_MOUNTING_RECEPTACLE_CONTURE</t>
  </si>
  <si>
    <t>CNS_COMPONENT_FUNCTION_3D</t>
  </si>
  <si>
    <t>CNS_SIM_DESCRIPTION</t>
  </si>
  <si>
    <t>CNS_UINCREMENT</t>
  </si>
  <si>
    <t>CNS_VINCREMENT</t>
  </si>
  <si>
    <t>CNS_ULINENUM</t>
  </si>
  <si>
    <t>CNS_VLINENUM</t>
  </si>
  <si>
    <t>CNS_UOFFSET</t>
  </si>
  <si>
    <t>AAC313</t>
  </si>
  <si>
    <t>AAN413</t>
  </si>
  <si>
    <t>CNS_PARENT_CLS_ID_INST_ID</t>
  </si>
  <si>
    <t>BAH005</t>
  </si>
  <si>
    <t>AAB485</t>
  </si>
  <si>
    <t>AAB491</t>
  </si>
  <si>
    <t>AAN391</t>
  </si>
  <si>
    <t>CROSSSECTION_MIN</t>
  </si>
  <si>
    <t>CROSSSECTION_MAX</t>
  </si>
  <si>
    <t>AAS444</t>
  </si>
  <si>
    <t>CROSSSECTION_MIN_AWG</t>
  </si>
  <si>
    <t>CROSSSECTION_MAX_AWG</t>
  </si>
  <si>
    <t>AAC384</t>
  </si>
  <si>
    <t>AAN512_MIN</t>
  </si>
  <si>
    <t>AAN512_MAX</t>
  </si>
  <si>
    <t>AAN513_MIN</t>
  </si>
  <si>
    <t>AAN513_MAX</t>
  </si>
  <si>
    <t>MAX_WIRE_COUNT</t>
  </si>
  <si>
    <t>AAB202</t>
  </si>
  <si>
    <t>AAN404</t>
  </si>
  <si>
    <t>CNS_MIN_INSULATION_DIAMETER</t>
  </si>
  <si>
    <t>CNS_MAX_INSULATION_DIAMETER</t>
  </si>
  <si>
    <t>AAG644</t>
  </si>
  <si>
    <t>AAS447_MIN</t>
  </si>
  <si>
    <t>AAS447_MAX</t>
  </si>
  <si>
    <t>AAC207</t>
  </si>
  <si>
    <t>AAC202</t>
  </si>
  <si>
    <t>AAM557</t>
  </si>
  <si>
    <t>AAM558</t>
  </si>
  <si>
    <t>AAM559</t>
  </si>
  <si>
    <t>AAM560</t>
  </si>
  <si>
    <t>AAM561</t>
  </si>
  <si>
    <t>AAM657</t>
  </si>
  <si>
    <t>AAM658</t>
  </si>
  <si>
    <t>AAS449</t>
  </si>
  <si>
    <t>AAN476</t>
  </si>
  <si>
    <t>000005001</t>
  </si>
  <si>
    <t>00000B001</t>
  </si>
  <si>
    <t>CNS_DRILLING_ANGLE</t>
  </si>
  <si>
    <t>CNS_DRILLING_DIMENSION1</t>
  </si>
  <si>
    <t>CNS_DRILLING_DIMENSION2</t>
  </si>
  <si>
    <t>CNS_DRILLING_DIMENSION3</t>
  </si>
  <si>
    <t>CNS_DRILLING_REPETITION</t>
  </si>
  <si>
    <t>Plug Connector Designation</t>
  </si>
  <si>
    <t>AAN579</t>
  </si>
  <si>
    <t>AAN580</t>
  </si>
  <si>
    <t>AAR935</t>
  </si>
  <si>
    <t>AAR936</t>
  </si>
  <si>
    <t>ABC338</t>
  </si>
  <si>
    <t>AAN563</t>
  </si>
  <si>
    <t>AAN562</t>
  </si>
  <si>
    <t>AAC343**</t>
  </si>
  <si>
    <t>?</t>
  </si>
  <si>
    <t>000039001</t>
  </si>
  <si>
    <t>CNS_AREA_1_DIMENSION</t>
  </si>
  <si>
    <t>CNS_AREA_2_DIMENSION</t>
  </si>
  <si>
    <t>CNS_AREA_3_DIMENSION</t>
  </si>
  <si>
    <t>AAZ399</t>
  </si>
  <si>
    <t>AAZ760</t>
  </si>
  <si>
    <t>AAS366</t>
  </si>
  <si>
    <t>AAZ375</t>
  </si>
  <si>
    <t>AAT099</t>
  </si>
  <si>
    <t>CNS_RESTRICTED_AREA_TYPE</t>
  </si>
  <si>
    <t>CNS_CONNECTION_DESCRIPTION</t>
  </si>
  <si>
    <t>CNS_CONNECTION_DESIGNATION</t>
  </si>
  <si>
    <t>CNS_CONNECTOR_REMOVIBLE</t>
  </si>
  <si>
    <t>CNS_SYMBOL_REFERENCE</t>
  </si>
  <si>
    <t>CNS_ATTR_Name</t>
  </si>
  <si>
    <t>CNSLENGTH</t>
  </si>
  <si>
    <t>CNSWIDTH</t>
  </si>
  <si>
    <t>CNSHEIGHT</t>
  </si>
  <si>
    <t xml:space="preserve">CNS_TYPE_OF_BARRED_AREA </t>
  </si>
  <si>
    <t>CNSTRANSX</t>
  </si>
  <si>
    <t>CNSTRANSY</t>
  </si>
  <si>
    <t>CNSTRANSZ</t>
  </si>
  <si>
    <t>CNS_ATTR_NAME</t>
  </si>
  <si>
    <t>00006A001</t>
  </si>
  <si>
    <t>CNS_VARIANT_NAME</t>
  </si>
  <si>
    <t>CNS_COMPONENT_MOUNTING_TYPE</t>
  </si>
  <si>
    <t>Connection group</t>
  </si>
  <si>
    <t>Connection function</t>
  </si>
  <si>
    <t>CNS_RATED_VOLTAGE</t>
  </si>
  <si>
    <t>CNS_RATED_CURRENT</t>
  </si>
  <si>
    <t>CNS_RATED_ISOLATION_VOLTAGE</t>
  </si>
  <si>
    <t>CNS_RATING_TO</t>
  </si>
  <si>
    <t>CROSSSMIN</t>
  </si>
  <si>
    <t>CROSSSMAX</t>
  </si>
  <si>
    <t>MAXWC</t>
  </si>
  <si>
    <t>000023001</t>
  </si>
  <si>
    <t>CNS_SOCKET_SIZE</t>
  </si>
  <si>
    <t>00005E001</t>
  </si>
  <si>
    <t>00005G001</t>
  </si>
  <si>
    <t>CNS_GALVANIC_ISOLATION_FROM_OUTPUTS</t>
  </si>
  <si>
    <t>CNS_GALVANIC_ISOLATION_FROM_INPUTS</t>
  </si>
  <si>
    <t>CNS_GALVANIC_ISOLATION_FROM_EARTH_GROUND</t>
  </si>
  <si>
    <t>CNS_GALVANIC_ISOLATION_FROM_COMMUNICATION_INTERFACES</t>
  </si>
  <si>
    <t>CNS_GALVANIC_ISOLATION_FROM_EXTERNAL_POWER_SUPPLIES</t>
  </si>
  <si>
    <t>CNS_GALVANIC_ISOLATION_FROM_INTERNAL_POWER_SUPPLIES</t>
  </si>
  <si>
    <t>CNS_GALVANIC_ISOLATION_FOR_GALVANIC_ISOLATION</t>
  </si>
  <si>
    <t>00004D001</t>
  </si>
  <si>
    <t>AAQ664</t>
  </si>
  <si>
    <t>BAA561</t>
  </si>
  <si>
    <t>AAC381</t>
  </si>
  <si>
    <t>CNS_PLUG_CONNECTOR_DESIGNATION</t>
  </si>
  <si>
    <t>CNS_DESIGN_OF_THE_PLUG_CONNECTION</t>
  </si>
  <si>
    <t>CNS_TYPE_OF_PLUG_CONNECTION</t>
  </si>
  <si>
    <t>CNS_PLUG_CONNECTOR_MOUNTING_ORIENTATION</t>
  </si>
  <si>
    <t>CNS_DESCRIPTION_OF_THE_MOUNTING_ORIENTATION</t>
  </si>
  <si>
    <t>CNS_CONNECTOR_CODING</t>
  </si>
  <si>
    <t>CNS_EXECUTION_OF_THE_PLUG_CONNECTION</t>
  </si>
  <si>
    <t>CNS_EXCHANGEABILITY_OF_THE_CONNECTOR_NAME</t>
  </si>
  <si>
    <t>CNS_DOMAIN_OF_PLUG_CONNECTION</t>
  </si>
  <si>
    <t>CNS_AREA_SHAPE</t>
  </si>
  <si>
    <t>CNS_AREA_POLYGON_DATA</t>
  </si>
  <si>
    <t>CNS_AREA_TEXT_ROTATION_ANGLE</t>
  </si>
  <si>
    <t>CNS_SURFACE_TREATMENT_CODE</t>
  </si>
  <si>
    <t>CNS_COLOR_NUMBER_ACCORDING_TO_RAL</t>
  </si>
  <si>
    <r>
      <t xml:space="preserve">Connection point name pins
</t>
    </r>
    <r>
      <rPr>
        <sz val="13"/>
        <rFont val="Aptos Narrow"/>
        <family val="2"/>
        <scheme val="minor"/>
      </rPr>
      <t>(suggestion is ECP_1 and a pattern f.e. a connector has 10 equal connections we need ECP_1-ECP_10, if on customer side available we take in X,Y,Z plus direction/orientation, if there are already a pattern use ECP_1 and in further lines ECP_2… to bring in the coordinates for this articlenumber)
1 - ECP_*
2 - OP
3 - MD
4 - MP
5 - PNCP_* / Pneumatic
6 - HCP_* / Hydrualic
7 - MCP_* / Mechanic
8 - PRCP_* / Process
9 - PLCP_* / Plug</t>
    </r>
    <r>
      <rPr>
        <b/>
        <sz val="14"/>
        <rFont val="Aptos Narrow"/>
        <family val="2"/>
        <scheme val="minor"/>
      </rPr>
      <t xml:space="preserve">
</t>
    </r>
    <r>
      <rPr>
        <sz val="14"/>
        <rFont val="Aptos Narrow"/>
        <family val="2"/>
        <scheme val="minor"/>
      </rPr>
      <t>10 - DRILL
11 - BAR_* / barred
12 - ALAB_*/ area labeling
13 - ARES_* / area restriction
14 - ACTV_* / actuating vector
15 - GRD_* / mounting grid
16 - PLECP_* / Plug Element</t>
    </r>
  </si>
  <si>
    <t>CNS project path</t>
  </si>
  <si>
    <t>CNS condition</t>
  </si>
  <si>
    <r>
      <t xml:space="preserve">Connection name </t>
    </r>
    <r>
      <rPr>
        <sz val="13"/>
        <rFont val="Aptos Narrow"/>
        <family val="2"/>
        <scheme val="minor"/>
      </rPr>
      <t>(applies only to ECP, PNCP, HCP, PRCP, PLCP)</t>
    </r>
  </si>
  <si>
    <t>Connection description (DE)</t>
  </si>
  <si>
    <t>Connection description (EN)</t>
  </si>
  <si>
    <t>Connection designation</t>
  </si>
  <si>
    <t>1 - Yes
2 - No</t>
  </si>
  <si>
    <r>
      <rPr>
        <b/>
        <sz val="14"/>
        <rFont val="Aptos Narrow"/>
        <family val="2"/>
        <scheme val="minor"/>
      </rPr>
      <t xml:space="preserve">Connection Type        
Ongoing.-Nr. (insert number or the name 21 types possible)
</t>
    </r>
    <r>
      <rPr>
        <sz val="13"/>
        <color theme="1"/>
        <rFont val="Aptos Narrow"/>
        <family val="2"/>
        <scheme val="minor"/>
      </rPr>
      <t>1 - Band connection
2 - Bolt connection
3 - Cable terminal screw
4 - Clamping strap
5 - Conductor plate connection
6 - Female connector
7 - Flat plug-in connector
8 - Frame clamp
9 - Male connector
10 - Plug-in connection
11 - Rail connection
12 - Ring cable connection
13 - Screw connection
14 - Soldering lug connection
15 - Spring pulley connection
16 - Wire-Wrap connection
17 - Push-in connection
18 - Phase busbar connection
19 - Soldered connection
20 - Connection combination plug-socket
21 - Connection combination socket-plug</t>
    </r>
  </si>
  <si>
    <r>
      <t xml:space="preserve">Connection direction
</t>
    </r>
    <r>
      <rPr>
        <sz val="14"/>
        <color theme="1"/>
        <rFont val="Aptos Narrow"/>
        <family val="2"/>
        <scheme val="minor"/>
      </rPr>
      <t>1- from behind
2 - from down
3 - from above
4 - in front
5 - from left
6 - from right</t>
    </r>
    <r>
      <rPr>
        <sz val="13"/>
        <color theme="1"/>
        <rFont val="Aptos Narrow"/>
        <family val="2"/>
        <scheme val="minor"/>
      </rPr>
      <t xml:space="preserve">
</t>
    </r>
    <r>
      <rPr>
        <b/>
        <sz val="14"/>
        <color theme="1"/>
        <rFont val="Aptos Narrow"/>
        <family val="2"/>
        <scheme val="minor"/>
      </rPr>
      <t xml:space="preserve">
</t>
    </r>
  </si>
  <si>
    <r>
      <t xml:space="preserve">Symbolnumber IEC based      
</t>
    </r>
    <r>
      <rPr>
        <b/>
        <sz val="14"/>
        <rFont val="Aptos Narrow"/>
        <family val="2"/>
        <scheme val="minor"/>
      </rPr>
      <t>Ongoing.-Nr.</t>
    </r>
    <r>
      <rPr>
        <b/>
        <sz val="14"/>
        <color theme="1"/>
        <rFont val="Aptos Narrow"/>
        <family val="2"/>
        <scheme val="minor"/>
      </rPr>
      <t xml:space="preserve">
</t>
    </r>
    <r>
      <rPr>
        <sz val="13"/>
        <color theme="1"/>
        <rFont val="Aptos Narrow"/>
        <family val="2"/>
        <scheme val="minor"/>
      </rPr>
      <t>1 - Female S00031
2  - Male S00032
3 - 999 applicable IEC Symbols</t>
    </r>
    <r>
      <rPr>
        <b/>
        <sz val="13"/>
        <color theme="1"/>
        <rFont val="Aptos Narrow"/>
        <family val="2"/>
        <scheme val="minor"/>
      </rPr>
      <t xml:space="preserve">
</t>
    </r>
    <r>
      <rPr>
        <b/>
        <sz val="14"/>
        <color theme="1"/>
        <rFont val="Aptos Narrow"/>
        <family val="2"/>
        <scheme val="minor"/>
      </rPr>
      <t xml:space="preserve">
</t>
    </r>
  </si>
  <si>
    <t>Function name</t>
  </si>
  <si>
    <t>Channel designation</t>
  </si>
  <si>
    <t>Supported protocol
(buss-system)
1 - ASi
2 - ARP
3 - AS interface safety at work
4 - CAN
5 - CANopen
…</t>
  </si>
  <si>
    <t>Symbol name out of the symbol library</t>
  </si>
  <si>
    <t>name of fixing variant</t>
  </si>
  <si>
    <r>
      <t xml:space="preserve">Type of mounting
(70 values possible applies only to MD)
</t>
    </r>
    <r>
      <rPr>
        <sz val="14"/>
        <color theme="1"/>
        <rFont val="Aptos Narrow"/>
        <family val="2"/>
        <scheme val="minor"/>
      </rPr>
      <t>1 - flanged
2 - clamped
3 - welded
4 - 19 inch
5 - Assembly
6 - Base assembly
7 - Base assembly for stop doors
8 - Base assembly for two-way doors
9 - Base attachment
10 - Bus bar
11 - Bus bar fastening
12 - continuous covered screwed
13 - continuous one-sided covered screwed
14 - continuous visibly screwed
15 - cover screwed
16 - C-profile
17 - DIN track
18 - Direct assembly
19 - Direct extension
20 - Direct mounting/individual installation
21 - Doorframe assembly
22 - doorframe assembly/hinge side
23 - doorframe assembly/opposite to hinge side
24 - door hinge mounting/hinge side
25 - door hinge mounting/opposite to hinge side
26 - Door leaf mounting
27 - Flange
28 - Foot assembly
29 - Front assembly
30 - front attachment
31 - G track G32
32 - Inserted
33 - Installation
34 - integrable
35 - Metric
36 - Mountable and integrable
37 - Mounted
38 - Mounting face
39 - Parallel assembly
40 - Pinned
41 - pluggable
42 - pluggable
43 - plug in module
44 - Plug insert
45 - Pushed-through
46 - quick fastening
47 - Rail/direct mounted
48 - screwable
49 - Screwed
50 - Screw mounting
51 - Side extension
52 - Single installation
53 - Snap-mounted supporting rail
54 - Snap-on mounting
55 - Socket
56 - Special assembly
57 - Special profiles
58 - Surface mounted
59 - Terminal mount
60 - Top-hat/g-rail TH35/G32
61 - Top-hat rail TH15
62 - Top-hat rail TH35
63 - Top-hat rail TH75
64 - visibly screwed
65 - Wall mounting
66 - with cams
67 - With holder
68 - without cams
69 - Wall assembly
70 - DIN rail mounting</t>
    </r>
  </si>
  <si>
    <t>Link Mounting description connection point with classification</t>
  </si>
  <si>
    <t>barred/restricted Area</t>
  </si>
  <si>
    <r>
      <rPr>
        <b/>
        <sz val="14"/>
        <color rgb="FF000000"/>
        <rFont val="Aptos Narrow"/>
        <family val="2"/>
        <scheme val="minor"/>
      </rPr>
      <t xml:space="preserve">Type of Barred Area
</t>
    </r>
    <r>
      <rPr>
        <sz val="14"/>
        <color rgb="FF000000"/>
        <rFont val="Aptos Narrow"/>
        <family val="2"/>
        <scheme val="minor"/>
      </rPr>
      <t>1 - Connection
2 - electrical to be energized parts
3 - electrical to earth parts
4- Maintenance
5 - thermal</t>
    </r>
  </si>
  <si>
    <t>Component receptacle designation</t>
  </si>
  <si>
    <t>Components receptacle description</t>
  </si>
  <si>
    <t>Components receptacle variant designation</t>
  </si>
  <si>
    <t>Components receptacle variants description (DE)</t>
  </si>
  <si>
    <t>Components receptacle variants description (EN)</t>
  </si>
  <si>
    <r>
      <t xml:space="preserve">Type of Mounting of component
</t>
    </r>
    <r>
      <rPr>
        <sz val="14"/>
        <color theme="1"/>
        <rFont val="Aptos Narrow"/>
        <family val="2"/>
        <scheme val="minor"/>
      </rPr>
      <t>1 - build at the top
2 - build on down
3 - build on the device
4 - build under device
5 - inside
7 - side build on the right</t>
    </r>
  </si>
  <si>
    <t>Is Linear    </t>
  </si>
  <si>
    <t>Is Area </t>
  </si>
  <si>
    <t>Extend U </t>
  </si>
  <si>
    <t>Extend V </t>
  </si>
  <si>
    <t>Mounting Receptacle Conture (external file ref)</t>
  </si>
  <si>
    <r>
      <t xml:space="preserve">Component function 3D
</t>
    </r>
    <r>
      <rPr>
        <sz val="14"/>
        <color theme="1"/>
        <rFont val="Aptos Narrow"/>
        <family val="2"/>
        <scheme val="minor"/>
      </rPr>
      <t>1 - Door
2 - Door left
3 - Door right
4 - Floor
5 - Mounting panel back
6 - Area floor sheets
7 - Floor sheet outside
8 - Floor sheet inside
9 - Door inside
10 - Door left inside
11 - Door left outside
12 - Door outside
13 - Door right inside
...</t>
    </r>
  </si>
  <si>
    <t>mounting grid description (DE)</t>
  </si>
  <si>
    <t>mounting grid description (EN)</t>
  </si>
  <si>
    <t>mounting grid x increment (step size)</t>
  </si>
  <si>
    <t>mounting grid y increment (step size)</t>
  </si>
  <si>
    <t>mounting grid x steps (integer)</t>
  </si>
  <si>
    <t>mounting grid y steps (integer)</t>
  </si>
  <si>
    <t>offset from Connpoint in local U direction (mm)</t>
  </si>
  <si>
    <t>offset from Connpoint in local V direction (mm)</t>
  </si>
  <si>
    <r>
      <t xml:space="preserve">Connection group </t>
    </r>
    <r>
      <rPr>
        <sz val="13"/>
        <rFont val="Aptos Narrow"/>
        <family val="2"/>
        <scheme val="minor"/>
      </rPr>
      <t>(grouping connection using a string identifier)</t>
    </r>
  </si>
  <si>
    <r>
      <t xml:space="preserve">Connection function ( 30 values)
</t>
    </r>
    <r>
      <rPr>
        <sz val="14"/>
        <rFont val="Aptos Narrow"/>
        <family val="2"/>
        <scheme val="minor"/>
      </rPr>
      <t>1 - Collektor
2 - Common contact
3 - Contact normally close
4 - Contact normally open
5 - Drain
6 - Emitter
7 - GND
8 - load input
9 - load output
10 - main circuit
11 - neutral conductor
12 - protective conductor
13 - shield
14 - signal input
15 - signal output
16 - Source
17 - supply voltage
18 - Connection
19 - equipotential bounding conductor
20 - earthing conductor
21 - device-specific
22 - level 1
23 - level 2
24 - level 3
25 - level 4
26 - level 5
27 - level 6
28 - level 7
29 - level 8
30 - level 9</t>
    </r>
  </si>
  <si>
    <t>Connection Point ID</t>
  </si>
  <si>
    <t>Rated Voltage</t>
  </si>
  <si>
    <t>Rated Permanent Current</t>
  </si>
  <si>
    <t>Rated Isolation Voltage</t>
  </si>
  <si>
    <r>
      <t xml:space="preserve">Rating to (5 values)  </t>
    </r>
    <r>
      <rPr>
        <sz val="14"/>
        <color theme="1"/>
        <rFont val="Aptos Narrow"/>
        <family val="2"/>
        <scheme val="minor"/>
      </rPr>
      <t>1 - IEC
2 - UL
3 - UR
4 - CSA
5 - CUL</t>
    </r>
  </si>
  <si>
    <r>
      <t xml:space="preserve">Cross section nominal min
</t>
    </r>
    <r>
      <rPr>
        <sz val="13"/>
        <color theme="1"/>
        <rFont val="Aptos Narrow"/>
        <family val="2"/>
        <scheme val="minor"/>
      </rPr>
      <t xml:space="preserve">(multi wire)
</t>
    </r>
  </si>
  <si>
    <r>
      <t>Cross section nominal max</t>
    </r>
    <r>
      <rPr>
        <sz val="13"/>
        <color theme="1"/>
        <rFont val="Aptos Narrow"/>
        <family val="2"/>
        <scheme val="minor"/>
      </rPr>
      <t xml:space="preserve"> 
(multi wire)
</t>
    </r>
  </si>
  <si>
    <r>
      <t xml:space="preserve">Total max. cross section </t>
    </r>
    <r>
      <rPr>
        <sz val="14"/>
        <color theme="1"/>
        <rFont val="Aptos Narrow"/>
        <family val="2"/>
        <scheme val="minor"/>
      </rPr>
      <t xml:space="preserve">
</t>
    </r>
  </si>
  <si>
    <r>
      <t>Cross section nominal min (36 values possible)</t>
    </r>
    <r>
      <rPr>
        <sz val="14"/>
        <color theme="1"/>
        <rFont val="Aptos Narrow"/>
        <family val="2"/>
        <scheme val="minor"/>
      </rPr>
      <t xml:space="preserve">
</t>
    </r>
    <r>
      <rPr>
        <sz val="13"/>
        <color theme="1"/>
        <rFont val="Aptos Narrow"/>
        <family val="2"/>
        <scheme val="minor"/>
      </rPr>
      <t>(2/0)
(3/0)
(4/0)
1
2
4
6
8
10
12
14
16
18
20
22
24
26
28
30
32
34
36
38
40
42
44
250
350
500
No Input
1000
900
550
600
750
300</t>
    </r>
  </si>
  <si>
    <r>
      <t xml:space="preserve">Cross section nominal max (36 values possible)
</t>
    </r>
    <r>
      <rPr>
        <sz val="13"/>
        <color theme="1"/>
        <rFont val="Aptos Narrow"/>
        <family val="2"/>
        <scheme val="minor"/>
      </rPr>
      <t>(2/0)
(3/0)
(4/0)
1
2
4
6
8
10
12
14
16
18
20
22
24
26
28
30
32
34
36
38
40
42
44
250
350
500
No Input
1000
900
550
600
750
300</t>
    </r>
    <r>
      <rPr>
        <b/>
        <sz val="13"/>
        <color theme="1"/>
        <rFont val="Aptos Narrow"/>
        <family val="2"/>
        <scheme val="minor"/>
      </rPr>
      <t xml:space="preserve">
</t>
    </r>
  </si>
  <si>
    <r>
      <t xml:space="preserve">Total max cross section AWG
</t>
    </r>
    <r>
      <rPr>
        <sz val="14"/>
        <color theme="1"/>
        <rFont val="Aptos Narrow"/>
        <family val="2"/>
        <scheme val="minor"/>
      </rPr>
      <t>(2/0)
(3/0)
(4/0)
1
2
4
6
8
10
12
14
16
18
20
22
24
26
28
30
32
34
36
38
40
42
44
250
350
500
No Input
1000
900
550
600
750
300</t>
    </r>
  </si>
  <si>
    <r>
      <t xml:space="preserve">Cross section nominal min single wire </t>
    </r>
    <r>
      <rPr>
        <sz val="13"/>
        <color theme="1"/>
        <rFont val="Aptos Narrow"/>
        <family val="2"/>
        <scheme val="minor"/>
      </rPr>
      <t>(default equal to cross section nominal min)</t>
    </r>
  </si>
  <si>
    <r>
      <t xml:space="preserve">Cross section nominal max single wire </t>
    </r>
    <r>
      <rPr>
        <sz val="13"/>
        <color theme="1"/>
        <rFont val="Aptos Narrow"/>
        <family val="2"/>
        <scheme val="minor"/>
      </rPr>
      <t>(default equal to cross section nominal max)</t>
    </r>
  </si>
  <si>
    <r>
      <t>Cross section nominal min multi wire</t>
    </r>
    <r>
      <rPr>
        <sz val="14"/>
        <color theme="1"/>
        <rFont val="Aptos Narrow"/>
        <family val="2"/>
        <scheme val="minor"/>
      </rPr>
      <t xml:space="preserve"> </t>
    </r>
    <r>
      <rPr>
        <sz val="13"/>
        <color theme="1"/>
        <rFont val="Aptos Narrow"/>
        <family val="2"/>
        <scheme val="minor"/>
      </rPr>
      <t>(default equal to cross section nominal min)</t>
    </r>
  </si>
  <si>
    <r>
      <t xml:space="preserve">Cross section nominal max multi wire </t>
    </r>
    <r>
      <rPr>
        <sz val="13"/>
        <color theme="1"/>
        <rFont val="Aptos Narrow"/>
        <family val="2"/>
        <scheme val="minor"/>
      </rPr>
      <t>(default equal to cross section nominal max)</t>
    </r>
  </si>
  <si>
    <t>Max wire count</t>
  </si>
  <si>
    <r>
      <t xml:space="preserve">Strip length </t>
    </r>
    <r>
      <rPr>
        <sz val="14"/>
        <color theme="1"/>
        <rFont val="Aptos Narrow"/>
        <family val="2"/>
        <scheme val="minor"/>
      </rPr>
      <t>(isolation)</t>
    </r>
  </si>
  <si>
    <r>
      <t xml:space="preserve">Bridge circuit connector
</t>
    </r>
    <r>
      <rPr>
        <sz val="14"/>
        <color theme="1"/>
        <rFont val="Aptos Narrow"/>
        <family val="2"/>
        <scheme val="minor"/>
      </rPr>
      <t>1 - No
2 - Yes</t>
    </r>
  </si>
  <si>
    <r>
      <t xml:space="preserve">Insulation diameter min </t>
    </r>
    <r>
      <rPr>
        <sz val="14"/>
        <color theme="1"/>
        <rFont val="Aptos Narrow"/>
        <family val="2"/>
        <scheme val="minor"/>
      </rPr>
      <t>(Needed for crimper)</t>
    </r>
  </si>
  <si>
    <r>
      <t xml:space="preserve">Insulation diameter max </t>
    </r>
    <r>
      <rPr>
        <sz val="14"/>
        <color theme="1"/>
        <rFont val="Aptos Narrow"/>
        <family val="2"/>
        <scheme val="minor"/>
      </rPr>
      <t>(Needed for crimper)</t>
    </r>
  </si>
  <si>
    <r>
      <t xml:space="preserve">socket size
</t>
    </r>
    <r>
      <rPr>
        <sz val="14"/>
        <color theme="1"/>
        <rFont val="Aptos Narrow"/>
        <family val="2"/>
        <scheme val="minor"/>
      </rPr>
      <t>1 - #0
2 - #00
3 - #1
4 - #01
5 - #2
6 - #02
7 - #3
8 - #4
…</t>
    </r>
  </si>
  <si>
    <t>tightening torque (MIN)</t>
  </si>
  <si>
    <t>tightening torque (MAX)</t>
  </si>
  <si>
    <r>
      <t xml:space="preserve">Material of the contact (insert number or the name of the material, 20 values possible)
</t>
    </r>
    <r>
      <rPr>
        <sz val="13"/>
        <color theme="1"/>
        <rFont val="Aptos Narrow"/>
        <family val="2"/>
        <scheme val="minor"/>
      </rPr>
      <t>1 - aluminum
2 - Beryllium copper
3 - Brass
4 - Bronze
5 - Ceramic
6 - Constantan alloy
7 - Copper
8 - CuSn
9 - CuZn
10 - Glass
11 - Iron
12 - Nickel
13 - Other copper alloys
14 - Other non-copper allows
...</t>
    </r>
  </si>
  <si>
    <r>
      <t xml:space="preserve">Material of the contact coat (insert number or the name of the plating, 14 values possible)
</t>
    </r>
    <r>
      <rPr>
        <sz val="13"/>
        <color theme="1"/>
        <rFont val="Aptos Narrow"/>
        <family val="2"/>
        <scheme val="minor"/>
      </rPr>
      <t>1 - without
2 - Silver
3 - Gold
4 - Brass
5 - Bronze
6 - Gold
7 - Nickel/gold
8 - Nickel
9 - Palladium
10 - Silver
11 - Sn
12 - Tin
13 - untreated
14 - Zinc</t>
    </r>
  </si>
  <si>
    <t xml:space="preserve">galvanic isolation from outputs
</t>
  </si>
  <si>
    <t>galvanic isolation from inputs</t>
  </si>
  <si>
    <t>galvanic isolation from earth/ground</t>
  </si>
  <si>
    <t>galvanic isolation from communication interfaces</t>
  </si>
  <si>
    <t>galvanic isolation from external power supplies</t>
  </si>
  <si>
    <t>galvanic isolation from internal power supplies</t>
  </si>
  <si>
    <t>reference standard for galvanic isolation</t>
  </si>
  <si>
    <t>associated mounting description (e.g. MD_1)</t>
  </si>
  <si>
    <t>drilling name</t>
  </si>
  <si>
    <r>
      <t xml:space="preserve">drilling type 
</t>
    </r>
    <r>
      <rPr>
        <sz val="14"/>
        <color theme="1"/>
        <rFont val="Aptos Narrow"/>
        <family val="2"/>
        <scheme val="minor"/>
      </rPr>
      <t>1 - Hole
2 - thread inch
3 - thread metric</t>
    </r>
  </si>
  <si>
    <t>drilling subtype (EPLAN specific)            1 - Round
2 - Rectangular
3 - Long-hole type
4 - Polyangular                  5 - Hexagonal</t>
  </si>
  <si>
    <t>name of drilling contour (dxf)
-. Applies to drilling sub type: polyangular</t>
  </si>
  <si>
    <t>Document ID of drilling contour</t>
  </si>
  <si>
    <t>drilling angle</t>
  </si>
  <si>
    <t>drilling dimension 1 
-&gt; diameter for drill (hole) / height for rectangular</t>
  </si>
  <si>
    <r>
      <t xml:space="preserve">drilling dimension 1 (coded thread size) 
-&gt; diameter for drill (hole) / height for rectangular
</t>
    </r>
    <r>
      <rPr>
        <sz val="14"/>
        <color theme="1"/>
        <rFont val="Aptos Narrow"/>
        <family val="2"/>
        <scheme val="minor"/>
      </rPr>
      <t>1 - M3
2 - M10
3 - M4
4 - M5
5 - M6
6 - M8
7 - M12
8 - M14</t>
    </r>
  </si>
  <si>
    <t>drilling dimension 2 
-&gt; width for rectangular</t>
  </si>
  <si>
    <t>drilling dimension 3</t>
  </si>
  <si>
    <t>Drilling_Repetition (int)</t>
  </si>
  <si>
    <r>
      <t xml:space="preserve">Design of the plug Connection
</t>
    </r>
    <r>
      <rPr>
        <sz val="14"/>
        <color theme="1"/>
        <rFont val="Aptos Narrow"/>
        <family val="2"/>
        <scheme val="minor"/>
      </rPr>
      <t>1 - Female
2 - Male
3 - Mixed</t>
    </r>
  </si>
  <si>
    <r>
      <t xml:space="preserve">Type of plug Connection
</t>
    </r>
    <r>
      <rPr>
        <sz val="14"/>
        <color theme="1"/>
        <rFont val="Aptos Narrow"/>
        <family val="2"/>
        <scheme val="minor"/>
      </rPr>
      <t>1 - axial screw connection
2 - Bolt connection
3 - Bus hood
4 - Cable
5 - cable
6 - Cable axial
7 - cable entry metrical
8 - cable entry PG
9 - Cable radial
…</t>
    </r>
  </si>
  <si>
    <t>Plug Connector mounting orientation (double)</t>
  </si>
  <si>
    <t>Description of the mounting orientation</t>
  </si>
  <si>
    <r>
      <rPr>
        <b/>
        <sz val="14"/>
        <color rgb="FF000000"/>
        <rFont val="Aptos Narrow"/>
        <family val="2"/>
        <scheme val="minor"/>
      </rPr>
      <t xml:space="preserve">Coding
</t>
    </r>
    <r>
      <rPr>
        <sz val="14"/>
        <color rgb="FF000000"/>
        <rFont val="Aptos Narrow"/>
        <family val="2"/>
        <scheme val="minor"/>
      </rPr>
      <t>1 - M-coded
2 - K-coded
3 - L-coded
4 - E-coded
5 - X-coded
6 - Y-coded
7 - T-coded
8 - S-Coded
9 - D-coded
10 - C-coded
11 - B-coded
12 - A-coded
13 - Socket
…</t>
    </r>
  </si>
  <si>
    <t>Parent Plug Connector ID</t>
  </si>
  <si>
    <r>
      <t xml:space="preserve">Execution of the plug connection
</t>
    </r>
    <r>
      <rPr>
        <sz val="14"/>
        <color theme="1"/>
        <rFont val="Aptos Narrow"/>
        <family val="2"/>
        <scheme val="minor"/>
      </rPr>
      <t>1 - female connector
2 - male connector
3 - male or female connector
4 - optical plug connector
5 - plug body
6 - plug contact guide</t>
    </r>
  </si>
  <si>
    <r>
      <t xml:space="preserve">Type of the plug connection
</t>
    </r>
    <r>
      <rPr>
        <sz val="14"/>
        <color theme="1"/>
        <rFont val="Aptos Narrow"/>
        <family val="2"/>
        <scheme val="minor"/>
      </rPr>
      <t xml:space="preserve">1 - Electrical
2 - hydraulic
3 - Mechanical
4 - optical
5 - pneumatic
6 - process
</t>
    </r>
  </si>
  <si>
    <t>exchangeability of the connector name</t>
  </si>
  <si>
    <r>
      <rPr>
        <b/>
        <sz val="14"/>
        <color rgb="FF000000"/>
        <rFont val="Aptos Narrow"/>
        <family val="2"/>
        <scheme val="minor"/>
      </rPr>
      <t xml:space="preserve">Type/"Domain" of Plug Element
</t>
    </r>
    <r>
      <rPr>
        <sz val="14"/>
        <color rgb="FF000000"/>
        <rFont val="Aptos Narrow"/>
        <family val="2"/>
        <scheme val="minor"/>
      </rPr>
      <t xml:space="preserve">1 - Electric
2 - Hydraulic
</t>
    </r>
    <r>
      <rPr>
        <sz val="14"/>
        <color rgb="FFFF0000"/>
        <rFont val="Aptos Narrow"/>
        <family val="2"/>
        <scheme val="minor"/>
      </rPr>
      <t xml:space="preserve">3 - L-coded
4 - E-coded
5 - X-coded
6 - Y-coded
7 - T-coded
8 - S-Coded
9 - D-coded
10 - C-coded
11 - B-coded
12 - A-coded
13 - Socket
</t>
    </r>
    <r>
      <rPr>
        <sz val="14"/>
        <color rgb="FF000000"/>
        <rFont val="Aptos Narrow"/>
        <family val="2"/>
        <scheme val="minor"/>
      </rPr>
      <t>…</t>
    </r>
  </si>
  <si>
    <t>External Dimater</t>
  </si>
  <si>
    <t>Inner Diameter</t>
  </si>
  <si>
    <t>Thread Size</t>
  </si>
  <si>
    <t xml:space="preserve">Connection point X
</t>
  </si>
  <si>
    <r>
      <t xml:space="preserve">Orientation vector X </t>
    </r>
    <r>
      <rPr>
        <sz val="12"/>
        <color theme="1"/>
        <rFont val="Aptos Narrow"/>
        <family val="2"/>
        <scheme val="minor"/>
      </rPr>
      <t>(default 0.0)</t>
    </r>
  </si>
  <si>
    <t xml:space="preserve">Connection point Y 
</t>
  </si>
  <si>
    <r>
      <t xml:space="preserve">Orientation vector Y </t>
    </r>
    <r>
      <rPr>
        <sz val="12"/>
        <color theme="1"/>
        <rFont val="Aptos Narrow"/>
        <family val="2"/>
        <scheme val="minor"/>
      </rPr>
      <t>(default 0.0)</t>
    </r>
  </si>
  <si>
    <t>Connection point Z</t>
  </si>
  <si>
    <r>
      <t xml:space="preserve">Orientation vector Z </t>
    </r>
    <r>
      <rPr>
        <sz val="12"/>
        <color theme="1"/>
        <rFont val="Aptos Narrow"/>
        <family val="2"/>
        <scheme val="minor"/>
      </rPr>
      <t>(default 1.0)</t>
    </r>
  </si>
  <si>
    <t>Identifier</t>
  </si>
  <si>
    <t>Area 1. Dimension</t>
  </si>
  <si>
    <t>Area 2. Dimension</t>
  </si>
  <si>
    <t>Area 3. Dimension</t>
  </si>
  <si>
    <r>
      <t xml:space="preserve">Area Shape 
</t>
    </r>
    <r>
      <rPr>
        <sz val="14"/>
        <color theme="1"/>
        <rFont val="Aptos Narrow"/>
        <family val="2"/>
        <scheme val="minor"/>
      </rPr>
      <t xml:space="preserve">1 - Polygon
2 - Ring-shaped
3 - Round
4 - Rectangular
</t>
    </r>
  </si>
  <si>
    <t xml:space="preserve">Area Polygon Data [reference to polygon data, dxf]
</t>
  </si>
  <si>
    <t>Area Text Rotation Angle</t>
  </si>
  <si>
    <t>Surface Treatment Code (string)</t>
  </si>
  <si>
    <t>Color Number according to RAL (integer)</t>
  </si>
  <si>
    <t xml:space="preserve">Parent ID  of  Mounting Plane, etc. (e.g. "MP_4") </t>
  </si>
  <si>
    <r>
      <t xml:space="preserve">Restriction Area Type
</t>
    </r>
    <r>
      <rPr>
        <sz val="14"/>
        <color theme="1"/>
        <rFont val="Aptos Narrow"/>
        <family val="2"/>
        <scheme val="minor"/>
      </rPr>
      <t>1 - Restricted placing area
2 - Restricted drilling area
3 - Restricted routing range</t>
    </r>
  </si>
  <si>
    <t>Unit</t>
  </si>
  <si>
    <t>V</t>
  </si>
  <si>
    <t>A</t>
  </si>
  <si>
    <t>mm²</t>
  </si>
  <si>
    <t>Nm</t>
  </si>
  <si>
    <t>[°]</t>
  </si>
  <si>
    <t>)&amp;(</t>
  </si>
  <si>
    <t>geändert 08.04.2025</t>
  </si>
  <si>
    <t>geändert 15.04.25</t>
  </si>
  <si>
    <t>geändert 23.04.2025</t>
  </si>
  <si>
    <t>geändert 2204.2025</t>
  </si>
  <si>
    <t>CNSELEK|5|4</t>
  </si>
  <si>
    <t xml:space="preserve">Must field if accessory is added
</t>
  </si>
  <si>
    <t xml:space="preserve">Connection points
</t>
  </si>
  <si>
    <t>AAN350</t>
  </si>
  <si>
    <t>AAN553</t>
  </si>
  <si>
    <t>000059001</t>
  </si>
  <si>
    <t>000054001</t>
  </si>
  <si>
    <t>000058001</t>
  </si>
  <si>
    <t>00005A001</t>
  </si>
  <si>
    <t>00005B001</t>
  </si>
  <si>
    <t>CNS_ASSOCIATED_PART_VARIANT_NAME</t>
  </si>
  <si>
    <t>Articlenumber main product</t>
  </si>
  <si>
    <r>
      <t xml:space="preserve">Connection point name / Pin name Main product </t>
    </r>
    <r>
      <rPr>
        <sz val="12"/>
        <color theme="1"/>
        <rFont val="Aptos Narrow"/>
        <family val="2"/>
        <scheme val="minor"/>
      </rPr>
      <t>(only necessary for pin based accessory)</t>
    </r>
  </si>
  <si>
    <t xml:space="preserve">Articlenumber accessory
</t>
  </si>
  <si>
    <r>
      <rPr>
        <b/>
        <sz val="14"/>
        <color rgb="FF000000"/>
        <rFont val="Aptos Narrow"/>
        <family val="2"/>
        <scheme val="minor"/>
      </rPr>
      <t xml:space="preserve">Part relation to the main device (default = 1)
</t>
    </r>
    <r>
      <rPr>
        <sz val="14"/>
        <color rgb="FF000000"/>
        <rFont val="Aptos Narrow"/>
        <family val="2"/>
        <scheme val="minor"/>
      </rPr>
      <t>1 - accessory
2 - counterpart
3 - Label parts (inscription / marking)
4 - maintenance part
5 - resolve part
6 - spare
7 - system component
8 - Services
9 - Successor
10 - Substitute
11 - Alternative order unit</t>
    </r>
  </si>
  <si>
    <t>GTIN (string)</t>
  </si>
  <si>
    <t>Manufacturer name (string)</t>
  </si>
  <si>
    <t>Accessory variant name / usage info</t>
  </si>
  <si>
    <t>Must field if available, if not created from ECADPORT</t>
  </si>
  <si>
    <t>Product main group</t>
  </si>
  <si>
    <t>REFERENCE_FEATURE_GROUP_ID</t>
  </si>
  <si>
    <t>REFERENCE_FEATURE_SYSTEM_NAME</t>
  </si>
  <si>
    <t>AAN521</t>
  </si>
  <si>
    <t>AAS575</t>
  </si>
  <si>
    <t>AAF726</t>
  </si>
  <si>
    <t>AAB821</t>
  </si>
  <si>
    <t>BAD915</t>
  </si>
  <si>
    <t>AAC820</t>
  </si>
  <si>
    <t>AAC821</t>
  </si>
  <si>
    <t>AAT080</t>
  </si>
  <si>
    <t>AAC824</t>
  </si>
  <si>
    <t>AAF583</t>
  </si>
  <si>
    <t>BAG975</t>
  </si>
  <si>
    <t>BAC140</t>
  </si>
  <si>
    <t>BAB392</t>
  </si>
  <si>
    <t>AAB456</t>
  </si>
  <si>
    <t>AAC828</t>
  </si>
  <si>
    <t>AAB447</t>
  </si>
  <si>
    <t>AAB460</t>
  </si>
  <si>
    <t>AAB542</t>
  </si>
  <si>
    <t>AAB667</t>
  </si>
  <si>
    <t>BAC426</t>
  </si>
  <si>
    <t>BAC378</t>
  </si>
  <si>
    <t>AAS568</t>
  </si>
  <si>
    <t>BAA303</t>
  </si>
  <si>
    <t>AAB958</t>
  </si>
  <si>
    <t>AAB959</t>
  </si>
  <si>
    <t>AAC148</t>
  </si>
  <si>
    <t>BAA297</t>
  </si>
  <si>
    <t>BAC050</t>
  </si>
  <si>
    <t>AAN354</t>
  </si>
  <si>
    <t>AAH656</t>
  </si>
  <si>
    <t>AAS573</t>
  </si>
  <si>
    <t>BAD304</t>
  </si>
  <si>
    <t>AAS574</t>
  </si>
  <si>
    <t>AAB438</t>
  </si>
  <si>
    <t>AAB476</t>
  </si>
  <si>
    <t>AAS566</t>
  </si>
  <si>
    <t>AAS569</t>
  </si>
  <si>
    <t>AAH655</t>
  </si>
  <si>
    <t>AAS565</t>
  </si>
  <si>
    <t>AAB416</t>
  </si>
  <si>
    <t>AAB455</t>
  </si>
  <si>
    <t>AAS570</t>
  </si>
  <si>
    <t>AAS567</t>
  </si>
  <si>
    <t>AAP406</t>
  </si>
  <si>
    <t>BAD346</t>
  </si>
  <si>
    <t>BAD706</t>
  </si>
  <si>
    <t>AAZ487</t>
  </si>
  <si>
    <t>AAP697</t>
  </si>
  <si>
    <t>AAP798</t>
  </si>
  <si>
    <t>AAB414</t>
  </si>
  <si>
    <t>AAN384</t>
  </si>
  <si>
    <t>AAN375</t>
  </si>
  <si>
    <t>BAC915</t>
  </si>
  <si>
    <r>
      <t xml:space="preserve">ECLASS number                                                                </t>
    </r>
    <r>
      <rPr>
        <sz val="14"/>
        <color theme="1"/>
        <rFont val="Aptos Narrow"/>
        <family val="2"/>
        <scheme val="minor"/>
      </rPr>
      <t xml:space="preserve">27-02-40-**
27-37-**-**
27-14-21-**
</t>
    </r>
  </si>
  <si>
    <t>ECLASS number (up to the current version)</t>
  </si>
  <si>
    <t>product article number of manufacturer (string)</t>
  </si>
  <si>
    <r>
      <t xml:space="preserve">Color (insert number or the name of the material, in common 38 values possible )
</t>
    </r>
    <r>
      <rPr>
        <sz val="13"/>
        <color theme="1"/>
        <rFont val="Aptos Narrow"/>
        <family val="2"/>
        <scheme val="minor"/>
      </rPr>
      <t>1 - aluminum
2 - anthracite
3 - beige
4 - Black
5 - black-transparent
6 - Blue
7 - Brass
8 - Bronze
9 - Brown
10 - Chromium
11 - cream white/electro white
12 - cyan (blue-green)
13 - Gold
14 - green
15 - green-yellow
16 - Grey
17 - light grey
18 - Lilac/violet
19 - metallic
20 - multi-colored
21 - Natural
22 - Nickel
23 - Orange
24 - pink
25 - Platinum
26 - red
27 - Silver
28 - Stainless steel
29 - Titanium
30 - Transparent
31 - Transparent
32 - turquoise
33 - violet
34 - White
35 - Without
36 - Without housing
37 - Wood
38 - yellow</t>
    </r>
  </si>
  <si>
    <t>rated voltage</t>
  </si>
  <si>
    <t>Power loss per pole</t>
  </si>
  <si>
    <t>rated current</t>
  </si>
  <si>
    <t>Max. rated operating current</t>
  </si>
  <si>
    <r>
      <t xml:space="preserve">Voltage type 
</t>
    </r>
    <r>
      <rPr>
        <sz val="14"/>
        <rFont val="Aptos Narrow"/>
        <family val="2"/>
        <scheme val="minor"/>
      </rPr>
      <t>1 - AC
2 - AC, alternating current
3 - AC/DC
4 - DC
5 - DC, direct current
6 - UC, direct current/alternating current</t>
    </r>
  </si>
  <si>
    <t>Min operating temperature</t>
  </si>
  <si>
    <t>Max operating temperature</t>
  </si>
  <si>
    <t>Pole number</t>
  </si>
  <si>
    <t>Nominal current</t>
  </si>
  <si>
    <t>Nominal voltage</t>
  </si>
  <si>
    <r>
      <t xml:space="preserve">degree of protection </t>
    </r>
    <r>
      <rPr>
        <sz val="14"/>
        <rFont val="Aptos Narrow"/>
        <family val="2"/>
        <scheme val="minor"/>
      </rPr>
      <t>1 - IP65/IP67 (according to IEC 60529)
2 - IP65/IP67
3 - IP00
4 - IP2X
5 - IP2XC
6 - IP3X
7 - IP05
8 - IP10
9 - IP12
10 - IP13B
11 - IP20
12 - IP21
13 - IP22
14 - IP23
15 - IP23D
16 - IP24
17 - IP24D
18 - IP25
19 - IP25D
20 - IP30
21 - IP31
22 - IP32
23 - IP33
24 - IP34
25 - IP34D
26 - IP35
27 - IP40
28 - IP41
29 - IP42
30 - IP43
31 - IP44
32 - IP45
33 - IP50
34 - IP52
35 - IP53
36 - IP54
37 - IP55
38 - IP56
39 - IP57
40 - IP58
41 - IP64
42 - IP65
43 - IP65/IP67
44 - IP66
45 - IP66/IP67
46 - IP67
47 - IP67K
48 - IP68
49 - IP69K
50 - IPX0
51 - IPX1
52 - IPX3
53 - IPX4
54 - IPX5
55 - IPX7
56 - IP67/IP69K
57 - IP69</t>
    </r>
  </si>
  <si>
    <r>
      <t xml:space="preserve">Combustibility class
</t>
    </r>
    <r>
      <rPr>
        <sz val="14"/>
        <color theme="1"/>
        <rFont val="Aptos Narrow"/>
        <family val="2"/>
        <scheme val="minor"/>
      </rPr>
      <t>1 - 5V
2 - HB
3 - HBF
4 - HBF1
5 - HBF2
6 - V0
7 - V1
8 - V2
9 - VTM0
10 - VTM1
11 - VTM2</t>
    </r>
  </si>
  <si>
    <r>
      <t xml:space="preserve">certificate/approval
</t>
    </r>
    <r>
      <rPr>
        <sz val="14"/>
        <rFont val="Aptos Narrow"/>
        <family val="2"/>
        <scheme val="minor"/>
      </rPr>
      <t>1 - BG-PRÜFZERT
2 - Blue angel
3 - Blue Angel (RAL-UZ 2)
4 - Blue Angel (RAL-UZ 5)
5 - Blue Angel (RAL-UZ 12a)
6 - Blue Angel (RAL-UZ 13)
7 - Blue Angel (RAL-UZ 14)
8 - Blue Angel (RAL-UZ 17)
9 - Blue Angel (RAL-UZ 21)
10 - Blue Angel (RAL-UZ 24)
11 - Blue Angel (RAL-UZ 27)
12 - Blue Angel (RAL-UZ 30a)
13 - Blue Angel (RAL-UZ 32)
14 - Blue Angel (RAL-UZ 34)
15 - Blue Angel (RAL-UZ 35)
16 - Blue Angel (RAL-UZ 38)
17 - Blue Angel (RAL-UZ 47)
18 - Blue Angel (RAL-UZ 48)
...</t>
    </r>
  </si>
  <si>
    <t>Rated operating power with AC-3, 400V</t>
  </si>
  <si>
    <t>Lowest value of setting range for overload tripper</t>
  </si>
  <si>
    <t>Conditional rated short-circuit current Iq</t>
  </si>
  <si>
    <t>Rated operating current Ie</t>
  </si>
  <si>
    <t>Greatest value of overload release adjustment range</t>
  </si>
  <si>
    <t>suitable for mounting onto standard rails
1 - No
2 - Yes</t>
  </si>
  <si>
    <r>
      <t xml:space="preserve">Function 
</t>
    </r>
    <r>
      <rPr>
        <sz val="14"/>
        <color theme="1"/>
        <rFont val="Aptos Narrow"/>
        <family val="2"/>
        <scheme val="minor"/>
      </rPr>
      <t>1 - electronic for central control unit
2 - electronic group switch
3 - electronic serial switch
4 - electronic switch
5 - electronic with back-back delay
6 - mechanical for central control
7 - mechanical group switch
8 - mechanical serial switch
9 - mechanical switch
10 - Two-way contactor
11 - Star-delta contactor
12 - PLC-PLC
13 - PLC-PC
14 - PLC programming unit
15 - PLC other devices
16 - PLC extension</t>
    </r>
  </si>
  <si>
    <r>
      <t xml:space="preserve">Connection type
</t>
    </r>
    <r>
      <rPr>
        <sz val="14"/>
        <color theme="1"/>
        <rFont val="Aptos Narrow"/>
        <family val="2"/>
        <scheme val="minor"/>
      </rPr>
      <t>1 - backside screw connection
2 - Bar-type current transformer
3 - Bolt connection
4 - Cable terminal screw
5 - Clamping strap
6 - Connecting rail
7 - Flat plug-in connector
8 - Frame clamp
9 - Pc-board connection
10 - Print connection
11 - Rail connection
12 - Ring cable connection
13 - Screw connection
14 - Spring pulley connection
15 - tunnel terminal
16 - patterned</t>
    </r>
  </si>
  <si>
    <t>Rated conditional short-circuit current, type 1, 480 Y/277 V</t>
  </si>
  <si>
    <t>Power loss, static, current-independent [Pls]</t>
  </si>
  <si>
    <t xml:space="preserve">min. rated control voltage Us with AC 50 Hz
</t>
  </si>
  <si>
    <t>min. rated control voltage Us with AC 60 Hz</t>
  </si>
  <si>
    <t>isolating function present
1 - No
2 - Yes</t>
  </si>
  <si>
    <r>
      <t xml:space="preserve">Type of protocol 
</t>
    </r>
    <r>
      <rPr>
        <sz val="14"/>
        <color theme="1"/>
        <rFont val="Aptos Narrow"/>
        <family val="2"/>
        <scheme val="minor"/>
      </rPr>
      <t>1 - PROFIBUS PA
2 - Foundation Fieldbus FF-H1 protocol
3 - PROFIBUS DP
4 - manufacturer-specific
5 - CSMA/CD protocol
6 - FIP protocol
7 - HART protocol
8 - IEEE 802.11b
9 - IEEE 802.11d
10 - IEEE 802.11e
11 - IEEE 802.11f
12 - IEEE 802.11g
13 - IEEE 802.11i
14 - IEEE 802.11j
15 - IEEE 802.11n
16 - IO-Link
17 - PROFIBUS protocol
18 - Protocol via IEEE 488-Bus
19 - Protocol via RS-232
20 - Protocol via RS-485
21 - Protocol via SCSI-Bus
22 - CANopen
23 - Protocol via RS-422
24 - Standard protocol MAP
25 - Standard protocol TOP
26 - Token protocol
27 - EtherCAT</t>
    </r>
  </si>
  <si>
    <r>
      <t xml:space="preserve">Type of actuation
</t>
    </r>
    <r>
      <rPr>
        <sz val="14"/>
        <color theme="1"/>
        <rFont val="Aptos Narrow"/>
        <family val="2"/>
        <scheme val="minor"/>
      </rPr>
      <t>1 - AC
2 - AC/DC
3 - DC
4 - Internal power supply</t>
    </r>
  </si>
  <si>
    <t>material declaration
1 - No
2 - Yes</t>
  </si>
  <si>
    <t xml:space="preserve">min. overload protector
</t>
  </si>
  <si>
    <t>Temperature compensated overload protection
1 - No
2 - Yes</t>
  </si>
  <si>
    <t>Bearing track assembly possible
1 - No
2 - Yes</t>
  </si>
  <si>
    <t>Rated current [In] for the power loss specification</t>
  </si>
  <si>
    <r>
      <t xml:space="preserve">Release class
</t>
    </r>
    <r>
      <rPr>
        <sz val="14"/>
        <color theme="1"/>
        <rFont val="Aptos Narrow"/>
        <family val="2"/>
        <scheme val="minor"/>
      </rPr>
      <t>1 - Other
2 - adjustable
3 - CLASS 10
4 - CLASS 20</t>
    </r>
  </si>
  <si>
    <t>Rated operating current Ie with AC-3, 400 V</t>
  </si>
  <si>
    <t>Rated power, 460 V, 60 Hz, 3-phase</t>
  </si>
  <si>
    <t>Rated conditional short-circuit current, type 1, 600 Y/347 V</t>
  </si>
  <si>
    <r>
      <t xml:space="preserve">supported protocol
</t>
    </r>
    <r>
      <rPr>
        <sz val="14"/>
        <color theme="1"/>
        <rFont val="Aptos Narrow"/>
        <family val="2"/>
        <scheme val="minor"/>
      </rPr>
      <t>1 - ASi
2 - AS interface safety at work
3 - CAN
4 - CANopen
5 - Data-Highway
6 - DeviceNet
7 - DeviceNet Safety
8 - EtherNet/IP
9 - Foundation Fieldbus
10 - INTERBUS
11 - INTERBUS-Safety
12 - KNX
13 - LON
14 - MODBUS
15 - other bus systems
16 - PROFIBUS
17 - PROFIBUS DP
18 - PROFIBUS PA
19 - PROFIBUS Safety
20 - PROFINET CBA
21 - PROFINET IO
22 - PROFIsafe
23 - SafetyBUS p
24 - sercos
25 - SUCONET
26 - TCP/IP
27 - IO-Link
28 - PROFINET
29 - EtherCAT
30 - USB
31 - BACnet</t>
    </r>
  </si>
  <si>
    <t xml:space="preserve">max. overload protector
</t>
  </si>
  <si>
    <r>
      <t xml:space="preserve">Kind of motor starter
</t>
    </r>
    <r>
      <rPr>
        <sz val="14"/>
        <color theme="1"/>
        <rFont val="Aptos Narrow"/>
        <family val="2"/>
        <scheme val="minor"/>
      </rPr>
      <t>1 - Other
2 - Two-way starter
3 - Star-delta starter
4 - repair switch
5 - Direct starter</t>
    </r>
  </si>
  <si>
    <r>
      <t xml:space="preserve">Design of the electrical connection for auxiliary and control current circuit
</t>
    </r>
    <r>
      <rPr>
        <sz val="14"/>
        <color theme="1"/>
        <rFont val="Aptos Narrow"/>
        <family val="2"/>
        <scheme val="minor"/>
      </rPr>
      <t>1 - Without
2 - Soldering lug connection
3 - Plug/coupler
4 - Round conductor/lamellar copper rails
5 - Round conductor/copper rails
6 - Round conductor
7 - Lamellar copper rails
8 - Terminal screw/screwed fastening
9 - 3 lines AWG 12
10 - 3 lines AWG 10/3 terminals 10 mm²
11 - 3 lines AWG 10
12 - Screw connection
13 - Spring pulley connection</t>
    </r>
  </si>
  <si>
    <t>Rated operating power with AC-3, 230 V</t>
  </si>
  <si>
    <t>Rated conditional short-circuit current, type 2, 230 V</t>
  </si>
  <si>
    <t>Rated power, 575 V, 60 Hz, 3-phase</t>
  </si>
  <si>
    <t>Number of control centers</t>
  </si>
  <si>
    <t>External reset possible
1 - No
2 - Yes</t>
  </si>
  <si>
    <t>suitable for EMERGENCY-OFF
1 - No
2 - Yes</t>
  </si>
  <si>
    <r>
      <t xml:space="preserve">Degree of protection (NEMA), front side
</t>
    </r>
    <r>
      <rPr>
        <sz val="14"/>
        <color theme="1"/>
        <rFont val="Aptos Narrow"/>
        <family val="2"/>
        <scheme val="minor"/>
      </rPr>
      <t>1 - NEMA 3, 4, 7, 9
2 - NEMA 3, 4, 12
3 - NEMA 7, 9
4 - NEMA 1, 2, 3R, 12, 13
5 - NEMA 1, 4X, 12K, Indoor use only, 13
6 - NEMA 1, 2, 3, 3R, 4, 4X, 12K, 13
7 - NEMA 1, 2, 3, 3R, 4, 4X, 12, 13
8 - NEMA 1, 2, 3, 3R, 4, 4X, 12K
9 - NEMA 1, 2, 3, 3R, 4, 4X
10 - NEMA 1, 2, 4X, 12, Indoor use only
11 - NEMA 1, 2, 3, 3R, 4, 4X, 12
...</t>
    </r>
  </si>
  <si>
    <t>Number of signal lamps</t>
  </si>
  <si>
    <t>Application standards</t>
  </si>
  <si>
    <r>
      <t xml:space="preserve">Design of the electrical connection
</t>
    </r>
    <r>
      <rPr>
        <sz val="14"/>
        <color theme="1"/>
        <rFont val="Aptos Narrow"/>
        <family val="2"/>
        <scheme val="minor"/>
      </rPr>
      <t>1 - 3 lines AWG 10
2 - 3 lines AWG 10/3 terminals 10 mm²
3 - 3 lines AWG 12
4 - Lamellar copper rails
5 - Plug/coupler
6 - Round conductor
7 - Round conductor/copper rails
8 - Round conductor/lamellar copper rails
9 - Screw connection
10 - Soldering lug connection
11 - Spring pulley connection
12 - Terminal screw/screwed fastening
13 - Without</t>
    </r>
  </si>
  <si>
    <t>over and/or under voltage detection present
1 - No
2 - Yes</t>
  </si>
  <si>
    <t>over and/or under current detection present
1 - No
2 - Yes</t>
  </si>
  <si>
    <r>
      <t xml:space="preserve">Switch function
</t>
    </r>
    <r>
      <rPr>
        <sz val="14"/>
        <color theme="1"/>
        <rFont val="Aptos Narrow"/>
        <family val="2"/>
        <scheme val="minor"/>
      </rPr>
      <t>1 - Control switch
2 - Louver switch
3 - Main switch
4 - Switch-off
5 - On/Off
6 - Selective switch</t>
    </r>
  </si>
  <si>
    <t>W</t>
  </si>
  <si>
    <t>°C</t>
  </si>
  <si>
    <t>kW</t>
  </si>
  <si>
    <t>kA</t>
  </si>
  <si>
    <t>Miniature circuit breaker</t>
  </si>
  <si>
    <t>Eaton</t>
  </si>
  <si>
    <t>Leitungsschutzschalter</t>
  </si>
  <si>
    <t>https://www.eaton.com/us/en-us.html</t>
  </si>
  <si>
    <t>https://www.eaton.com.cn/content/dam/eaton/products/electrical-circuit-protection/circuit-breakers/e6-series/eaton-e6-catalogue-en-cn.pdf</t>
  </si>
  <si>
    <t>Datasheet (EN)</t>
  </si>
  <si>
    <t>Datasheet (GER)</t>
  </si>
  <si>
    <t>ECP_1</t>
  </si>
  <si>
    <t>ECP_2</t>
  </si>
  <si>
    <t>ECP_3</t>
  </si>
  <si>
    <t>ECP_4</t>
  </si>
  <si>
    <t>OP</t>
  </si>
  <si>
    <t>DIN Rail mounting</t>
  </si>
  <si>
    <t>LINK_MD</t>
  </si>
  <si>
    <t>AC</t>
  </si>
  <si>
    <t>IP20</t>
  </si>
  <si>
    <t>NOUPEROU</t>
  </si>
  <si>
    <t>Quantity per packaging</t>
  </si>
  <si>
    <t>EIS-40/1</t>
  </si>
  <si>
    <t>EIS-40/2</t>
  </si>
  <si>
    <t>EIS-40/3</t>
  </si>
  <si>
    <t>EIS-40/4</t>
  </si>
  <si>
    <t>EIS-63/1</t>
  </si>
  <si>
    <t>EIS-63/2</t>
  </si>
  <si>
    <t>EIS-63/3</t>
  </si>
  <si>
    <t>EIS-63/4</t>
  </si>
  <si>
    <t>EIS-80/1</t>
  </si>
  <si>
    <t>EIS-80/2</t>
  </si>
  <si>
    <t>EIS-80/3</t>
  </si>
  <si>
    <t>EIS-80/4</t>
  </si>
  <si>
    <t>EIS-100/1</t>
  </si>
  <si>
    <t>EIS-100/2</t>
  </si>
  <si>
    <t>EIS-100/3</t>
  </si>
  <si>
    <t>EIS-100/4</t>
  </si>
  <si>
    <t>EIS-125/1</t>
  </si>
  <si>
    <t>EIS-125/2</t>
  </si>
  <si>
    <t>EIS-125/3</t>
  </si>
  <si>
    <t>EIS-125/4</t>
  </si>
  <si>
    <t xml:space="preserve">CBE04417 </t>
  </si>
  <si>
    <t>CBE04418</t>
  </si>
  <si>
    <t>CBE04419</t>
  </si>
  <si>
    <t>CBE04420</t>
  </si>
  <si>
    <t>CBE04421</t>
  </si>
  <si>
    <t>CBE04422</t>
  </si>
  <si>
    <t>CBE04423</t>
  </si>
  <si>
    <t>CBE04424</t>
  </si>
  <si>
    <t>CBE04425</t>
  </si>
  <si>
    <t>CBE04426</t>
  </si>
  <si>
    <t>CBE04427</t>
  </si>
  <si>
    <t>CBE04428</t>
  </si>
  <si>
    <t>CBE04429</t>
  </si>
  <si>
    <t>CBE04430</t>
  </si>
  <si>
    <t>CBE04431</t>
  </si>
  <si>
    <t>CBE04432</t>
  </si>
  <si>
    <t>CBE04433</t>
  </si>
  <si>
    <t>CBE04434</t>
  </si>
  <si>
    <t>CBE04435</t>
  </si>
  <si>
    <t>CBE04436</t>
  </si>
  <si>
    <t>CCC,CB,CE,ROHS, REACH</t>
  </si>
  <si>
    <t>EIS Disconnecting Switch</t>
  </si>
  <si>
    <t>EIS-Trennschalter</t>
  </si>
  <si>
    <t>EIS</t>
  </si>
  <si>
    <t>ECP_5</t>
  </si>
  <si>
    <t>ECP_6</t>
  </si>
  <si>
    <t>ECP_7</t>
  </si>
  <si>
    <t>ECP_8</t>
  </si>
  <si>
    <t>CNS013601-0001||1||1</t>
  </si>
  <si>
    <t>CNS013601-0001||1||2</t>
  </si>
  <si>
    <t>PH1</t>
  </si>
  <si>
    <t>CNS013601-0001||2||1</t>
  </si>
  <si>
    <t>CNS013601-0001||2||2</t>
  </si>
  <si>
    <t>CNS013601-0001||3||1</t>
  </si>
  <si>
    <t>CNS013601-0001||3||2</t>
  </si>
  <si>
    <t>CNS013601-0001||4||1</t>
  </si>
  <si>
    <t>CNS013601-0001||4||2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</si>
</sst>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b/>
      <sz val="2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8"/>
      <color rgb="FFFF000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theme="4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name val="Aptos Narrow"/>
      <family val="2"/>
      <scheme val="minor"/>
    </font>
    <font>
      <b/>
      <sz val="14"/>
      <color theme="4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u/>
      <sz val="14"/>
      <color theme="1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24"/>
      <color rgb="FF000000"/>
      <name val="Calibri"/>
      <family val="2"/>
    </font>
    <font>
      <b/>
      <sz val="12"/>
      <color rgb="FF000000"/>
      <name val="Arial"/>
      <family val="2"/>
    </font>
    <font>
      <b/>
      <sz val="11"/>
      <color rgb="FF000000"/>
      <name val="Calibri"/>
      <family val="2"/>
    </font>
    <font>
      <sz val="10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12"/>
      <name val="Arial"/>
      <family val="2"/>
    </font>
    <font>
      <sz val="13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Aptos Narrow"/>
      <family val="2"/>
      <scheme val="minor"/>
    </font>
    <font>
      <sz val="8"/>
      <name val="Aptos Narrow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9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0" borderId="0" xfId="0" applyFont="1" applyProtection="1">
      <protection locked="0"/>
    </xf>
    <xf numFmtId="0" fontId="5" fillId="0" borderId="0" xfId="0" applyFont="1"/>
    <xf numFmtId="0" fontId="6" fillId="0" borderId="0" xfId="0" applyFont="1"/>
    <xf numFmtId="0" fontId="7" fillId="3" borderId="2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left" vertical="top" wrapText="1"/>
    </xf>
    <xf numFmtId="0" fontId="8" fillId="5" borderId="2" xfId="0" applyFont="1" applyFill="1" applyBorder="1" applyAlignment="1">
      <alignment horizontal="left" vertical="top" wrapText="1"/>
    </xf>
    <xf numFmtId="0" fontId="9" fillId="0" borderId="0" xfId="0" applyFont="1"/>
    <xf numFmtId="0" fontId="8" fillId="3" borderId="2" xfId="0" applyFont="1" applyFill="1" applyBorder="1" applyAlignment="1">
      <alignment horizontal="left" vertical="top" wrapText="1"/>
    </xf>
    <xf numFmtId="0" fontId="9" fillId="0" borderId="3" xfId="0" applyFont="1" applyBorder="1" applyAlignment="1">
      <alignment wrapText="1"/>
    </xf>
    <xf numFmtId="0" fontId="10" fillId="0" borderId="4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2" fillId="6" borderId="4" xfId="0" applyFont="1" applyFill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2" fillId="6" borderId="5" xfId="0" applyFont="1" applyFill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2" fillId="7" borderId="6" xfId="0" applyFont="1" applyFill="1" applyBorder="1" applyAlignment="1">
      <alignment vertical="center" wrapText="1"/>
    </xf>
    <xf numFmtId="0" fontId="13" fillId="7" borderId="6" xfId="0" applyFont="1" applyFill="1" applyBorder="1" applyAlignment="1">
      <alignment vertical="center" wrapText="1"/>
    </xf>
    <xf numFmtId="0" fontId="13" fillId="7" borderId="4" xfId="0" applyFont="1" applyFill="1" applyBorder="1" applyAlignment="1">
      <alignment vertical="center" wrapText="1"/>
    </xf>
    <xf numFmtId="0" fontId="14" fillId="7" borderId="4" xfId="0" applyFont="1" applyFill="1" applyBorder="1" applyAlignment="1">
      <alignment vertical="center" wrapText="1"/>
    </xf>
    <xf numFmtId="0" fontId="15" fillId="7" borderId="4" xfId="1" applyFont="1" applyFill="1" applyBorder="1" applyAlignment="1" applyProtection="1">
      <alignment vertical="center" wrapText="1"/>
    </xf>
    <xf numFmtId="0" fontId="13" fillId="7" borderId="7" xfId="0" applyFont="1" applyFill="1" applyBorder="1" applyAlignment="1">
      <alignment vertical="center" wrapText="1"/>
    </xf>
    <xf numFmtId="0" fontId="14" fillId="6" borderId="6" xfId="0" applyFont="1" applyFill="1" applyBorder="1" applyAlignment="1">
      <alignment vertical="center" wrapText="1"/>
    </xf>
    <xf numFmtId="0" fontId="12" fillId="6" borderId="7" xfId="0" applyFont="1" applyFill="1" applyBorder="1" applyAlignment="1">
      <alignment vertical="center" wrapText="1"/>
    </xf>
    <xf numFmtId="0" fontId="12" fillId="7" borderId="4" xfId="0" applyFont="1" applyFill="1" applyBorder="1" applyAlignment="1">
      <alignment vertical="center" wrapText="1"/>
    </xf>
    <xf numFmtId="0" fontId="13" fillId="7" borderId="4" xfId="0" quotePrefix="1" applyFont="1" applyFill="1" applyBorder="1" applyAlignment="1">
      <alignment vertical="center" wrapText="1"/>
    </xf>
    <xf numFmtId="0" fontId="1" fillId="7" borderId="4" xfId="1" applyFill="1" applyBorder="1" applyAlignment="1" applyProtection="1">
      <alignment vertical="center" wrapText="1"/>
    </xf>
    <xf numFmtId="0" fontId="14" fillId="6" borderId="4" xfId="0" applyFont="1" applyFill="1" applyBorder="1" applyAlignment="1">
      <alignment vertical="center" wrapText="1"/>
    </xf>
    <xf numFmtId="0" fontId="12" fillId="6" borderId="4" xfId="0" applyFont="1" applyFill="1" applyBorder="1" applyAlignment="1">
      <alignment vertical="center" wrapText="1"/>
    </xf>
    <xf numFmtId="0" fontId="1" fillId="7" borderId="4" xfId="1" applyFill="1" applyBorder="1" applyAlignment="1">
      <alignment vertical="center" wrapText="1"/>
    </xf>
    <xf numFmtId="0" fontId="13" fillId="7" borderId="4" xfId="0" applyFont="1" applyFill="1" applyBorder="1" applyAlignment="1">
      <alignment horizontal="left" vertical="top" wrapText="1"/>
    </xf>
    <xf numFmtId="0" fontId="12" fillId="7" borderId="4" xfId="0" quotePrefix="1" applyFont="1" applyFill="1" applyBorder="1" applyAlignment="1">
      <alignment horizontal="left" vertical="top" wrapText="1"/>
    </xf>
    <xf numFmtId="0" fontId="12" fillId="7" borderId="4" xfId="0" applyFont="1" applyFill="1" applyBorder="1" applyAlignment="1">
      <alignment horizontal="left" vertical="top" wrapText="1"/>
    </xf>
    <xf numFmtId="0" fontId="12" fillId="7" borderId="4" xfId="0" quotePrefix="1" applyFont="1" applyFill="1" applyBorder="1" applyAlignment="1">
      <alignment horizontal="center" vertical="center" wrapText="1"/>
    </xf>
    <xf numFmtId="0" fontId="14" fillId="7" borderId="4" xfId="0" quotePrefix="1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top" wrapText="1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/>
      <protection locked="0"/>
    </xf>
    <xf numFmtId="0" fontId="10" fillId="0" borderId="0" xfId="0" applyFont="1" applyProtection="1">
      <protection locked="0"/>
    </xf>
    <xf numFmtId="0" fontId="18" fillId="0" borderId="0" xfId="0" applyFont="1"/>
    <xf numFmtId="0" fontId="19" fillId="0" borderId="0" xfId="0" applyFont="1" applyAlignment="1">
      <alignment vertical="center"/>
    </xf>
    <xf numFmtId="0" fontId="19" fillId="8" borderId="0" xfId="0" applyFont="1" applyFill="1" applyAlignment="1">
      <alignment vertical="center"/>
    </xf>
    <xf numFmtId="0" fontId="10" fillId="0" borderId="0" xfId="0" applyFont="1" applyAlignment="1" applyProtection="1">
      <alignment horizontal="left"/>
      <protection locked="0"/>
    </xf>
    <xf numFmtId="0" fontId="8" fillId="8" borderId="2" xfId="0" applyFont="1" applyFill="1" applyBorder="1" applyAlignment="1">
      <alignment horizontal="left" vertical="top" wrapText="1"/>
    </xf>
    <xf numFmtId="0" fontId="10" fillId="0" borderId="0" xfId="0" applyFont="1"/>
    <xf numFmtId="0" fontId="20" fillId="0" borderId="3" xfId="0" applyFont="1" applyBorder="1" applyAlignment="1">
      <alignment vertical="center" wrapText="1"/>
    </xf>
    <xf numFmtId="0" fontId="20" fillId="0" borderId="8" xfId="0" applyFont="1" applyBorder="1" applyAlignment="1">
      <alignment vertical="center" wrapText="1"/>
    </xf>
    <xf numFmtId="0" fontId="20" fillId="8" borderId="8" xfId="0" applyFont="1" applyFill="1" applyBorder="1" applyAlignment="1">
      <alignment vertical="center" wrapText="1"/>
    </xf>
    <xf numFmtId="0" fontId="0" fillId="0" borderId="0" xfId="0" applyAlignment="1" applyProtection="1">
      <alignment horizontal="center" vertical="center"/>
      <protection locked="0"/>
    </xf>
    <xf numFmtId="0" fontId="21" fillId="9" borderId="3" xfId="0" applyFont="1" applyFill="1" applyBorder="1" applyAlignment="1">
      <alignment vertical="center" wrapText="1"/>
    </xf>
    <xf numFmtId="0" fontId="21" fillId="8" borderId="3" xfId="0" applyFont="1" applyFill="1" applyBorder="1" applyAlignment="1">
      <alignment vertical="center" wrapText="1"/>
    </xf>
    <xf numFmtId="0" fontId="22" fillId="0" borderId="0" xfId="0" applyFont="1"/>
    <xf numFmtId="0" fontId="21" fillId="9" borderId="3" xfId="0" applyFont="1" applyFill="1" applyBorder="1" applyAlignment="1">
      <alignment horizontal="center" vertical="center" wrapText="1"/>
    </xf>
    <xf numFmtId="0" fontId="21" fillId="9" borderId="9" xfId="0" applyFont="1" applyFill="1" applyBorder="1" applyAlignment="1">
      <alignment horizontal="center" vertical="center" wrapText="1"/>
    </xf>
    <xf numFmtId="49" fontId="21" fillId="9" borderId="9" xfId="0" applyNumberFormat="1" applyFont="1" applyFill="1" applyBorder="1" applyAlignment="1">
      <alignment horizontal="center" vertical="center" wrapText="1"/>
    </xf>
    <xf numFmtId="0" fontId="21" fillId="8" borderId="9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left" vertical="top" wrapText="1"/>
    </xf>
    <xf numFmtId="0" fontId="7" fillId="8" borderId="4" xfId="0" applyFont="1" applyFill="1" applyBorder="1" applyAlignment="1">
      <alignment horizontal="left" vertical="top" wrapText="1"/>
    </xf>
    <xf numFmtId="0" fontId="10" fillId="0" borderId="0" xfId="0" applyFont="1" applyAlignment="1">
      <alignment vertical="top"/>
    </xf>
    <xf numFmtId="0" fontId="1" fillId="0" borderId="0" xfId="1" applyProtection="1">
      <protection locked="0"/>
    </xf>
    <xf numFmtId="0" fontId="12" fillId="6" borderId="7" xfId="0" applyFont="1" applyFill="1" applyBorder="1" applyAlignment="1">
      <alignment horizontal="left" vertical="top" wrapText="1"/>
    </xf>
    <xf numFmtId="0" fontId="0" fillId="0" borderId="0" xfId="0" applyAlignment="1" applyProtection="1">
      <alignment horizontal="left"/>
      <protection locked="0"/>
    </xf>
    <xf numFmtId="0" fontId="23" fillId="0" borderId="0" xfId="0" applyFont="1" applyAlignment="1">
      <alignment horizontal="left" vertical="top" wrapText="1"/>
    </xf>
    <xf numFmtId="0" fontId="7" fillId="5" borderId="2" xfId="0" applyFont="1" applyFill="1" applyBorder="1" applyAlignment="1">
      <alignment horizontal="left" vertical="top" wrapText="1"/>
    </xf>
    <xf numFmtId="0" fontId="25" fillId="0" borderId="5" xfId="0" applyFont="1" applyBorder="1" applyAlignment="1">
      <alignment horizontal="left" vertical="top" wrapText="1"/>
    </xf>
    <xf numFmtId="0" fontId="12" fillId="6" borderId="6" xfId="0" applyFont="1" applyFill="1" applyBorder="1" applyAlignment="1">
      <alignment vertical="center" wrapText="1"/>
    </xf>
    <xf numFmtId="0" fontId="13" fillId="7" borderId="4" xfId="0" applyFont="1" applyFill="1" applyBorder="1" applyAlignment="1">
      <alignment horizontal="center" vertical="center" wrapText="1"/>
    </xf>
    <xf numFmtId="49" fontId="13" fillId="7" borderId="7" xfId="0" applyNumberFormat="1" applyFont="1" applyFill="1" applyBorder="1" applyAlignment="1">
      <alignment vertical="center" wrapText="1"/>
    </xf>
    <xf numFmtId="49" fontId="12" fillId="7" borderId="4" xfId="0" applyNumberFormat="1" applyFont="1" applyFill="1" applyBorder="1" applyAlignment="1">
      <alignment horizontal="left" vertical="center" wrapText="1"/>
    </xf>
    <xf numFmtId="49" fontId="13" fillId="7" borderId="4" xfId="0" applyNumberFormat="1" applyFont="1" applyFill="1" applyBorder="1" applyAlignment="1">
      <alignment horizontal="left" vertical="center" wrapText="1"/>
    </xf>
    <xf numFmtId="49" fontId="13" fillId="7" borderId="7" xfId="0" applyNumberFormat="1" applyFont="1" applyFill="1" applyBorder="1" applyAlignment="1">
      <alignment horizontal="left" vertical="center" wrapText="1"/>
    </xf>
    <xf numFmtId="49" fontId="13" fillId="7" borderId="7" xfId="0" applyNumberFormat="1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49" fontId="13" fillId="7" borderId="4" xfId="0" applyNumberFormat="1" applyFont="1" applyFill="1" applyBorder="1" applyAlignment="1">
      <alignment vertical="center" wrapText="1"/>
    </xf>
    <xf numFmtId="0" fontId="1" fillId="7" borderId="7" xfId="1" applyNumberFormat="1" applyFill="1" applyBorder="1" applyAlignment="1">
      <alignment vertical="center" wrapText="1"/>
    </xf>
    <xf numFmtId="0" fontId="1" fillId="7" borderId="7" xfId="1" applyFill="1" applyBorder="1" applyAlignment="1">
      <alignment vertical="center" wrapText="1"/>
    </xf>
    <xf numFmtId="49" fontId="1" fillId="7" borderId="4" xfId="1" applyNumberFormat="1" applyFill="1" applyBorder="1" applyAlignment="1">
      <alignment horizontal="left" vertical="center" wrapText="1"/>
    </xf>
    <xf numFmtId="49" fontId="1" fillId="7" borderId="7" xfId="1" applyNumberFormat="1" applyFill="1" applyBorder="1" applyAlignment="1">
      <alignment horizontal="left" vertical="center" wrapText="1"/>
    </xf>
    <xf numFmtId="0" fontId="8" fillId="7" borderId="4" xfId="0" applyFont="1" applyFill="1" applyBorder="1" applyAlignment="1">
      <alignment horizontal="left" vertical="top" wrapText="1"/>
    </xf>
    <xf numFmtId="0" fontId="27" fillId="7" borderId="4" xfId="0" applyFont="1" applyFill="1" applyBorder="1" applyAlignment="1">
      <alignment horizontal="left" vertical="top" wrapText="1"/>
    </xf>
    <xf numFmtId="0" fontId="12" fillId="7" borderId="4" xfId="0" applyFont="1" applyFill="1" applyBorder="1" applyAlignment="1">
      <alignment horizontal="center" vertical="center" wrapText="1"/>
    </xf>
    <xf numFmtId="0" fontId="0" fillId="10" borderId="0" xfId="0" applyFill="1" applyProtection="1">
      <protection locked="0"/>
    </xf>
    <xf numFmtId="0" fontId="30" fillId="0" borderId="0" xfId="0" applyFont="1"/>
    <xf numFmtId="0" fontId="8" fillId="4" borderId="11" xfId="0" applyFont="1" applyFill="1" applyBorder="1" applyAlignment="1">
      <alignment horizontal="left" vertical="top" wrapText="1"/>
    </xf>
    <xf numFmtId="49" fontId="12" fillId="7" borderId="4" xfId="0" applyNumberFormat="1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left" vertical="center" wrapText="1"/>
    </xf>
    <xf numFmtId="49" fontId="12" fillId="6" borderId="7" xfId="0" applyNumberFormat="1" applyFont="1" applyFill="1" applyBorder="1" applyAlignment="1">
      <alignment vertical="center" wrapText="1"/>
    </xf>
    <xf numFmtId="49" fontId="29" fillId="0" borderId="0" xfId="0" applyNumberFormat="1" applyFont="1"/>
    <xf numFmtId="49" fontId="1" fillId="7" borderId="4" xfId="1" applyNumberFormat="1" applyFill="1" applyBorder="1" applyAlignment="1" applyProtection="1">
      <alignment horizontal="left" vertical="center" wrapText="1"/>
    </xf>
    <xf numFmtId="0" fontId="31" fillId="7" borderId="4" xfId="0" applyFont="1" applyFill="1" applyBorder="1" applyAlignment="1">
      <alignment horizontal="left" vertical="top" wrapText="1"/>
    </xf>
    <xf numFmtId="0" fontId="13" fillId="7" borderId="12" xfId="0" applyFont="1" applyFill="1" applyBorder="1" applyAlignment="1">
      <alignment horizontal="center" vertical="center" wrapText="1"/>
    </xf>
    <xf numFmtId="0" fontId="12" fillId="0" borderId="0" xfId="0" applyFont="1" applyAlignment="1" applyProtection="1">
      <alignment horizontal="left" vertical="top" wrapText="1"/>
      <protection locked="0"/>
    </xf>
    <xf numFmtId="0" fontId="8" fillId="0" borderId="0" xfId="0" applyFont="1" applyAlignment="1">
      <alignment horizontal="left" vertical="top" wrapText="1"/>
    </xf>
    <xf numFmtId="0" fontId="4" fillId="0" borderId="1" xfId="0" applyFont="1" applyBorder="1" applyAlignment="1" applyProtection="1">
      <alignment horizontal="center"/>
      <protection locked="0"/>
    </xf>
    <xf numFmtId="0" fontId="8" fillId="4" borderId="10" xfId="0" applyFont="1" applyFill="1" applyBorder="1" applyAlignment="1">
      <alignment horizontal="left" vertical="top" wrapText="1"/>
    </xf>
    <xf numFmtId="0" fontId="8" fillId="4" borderId="9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18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aton.com.cn/content/dam/eaton/products/electrical-circuit-protection/circuit-breakers/e6-series/eaton-e6-catalogue-en-cn.pdf" TargetMode="External"/><Relationship Id="rId2" Type="http://schemas.openxmlformats.org/officeDocument/2006/relationships/hyperlink" Target="https://www.eaton.com/us/en-us.html" TargetMode="External"/><Relationship Id="rId1" Type="http://schemas.openxmlformats.org/officeDocument/2006/relationships/hyperlink" Target="https://www.eaton.com/us/en-us.html" TargetMode="External"/><Relationship Id="rId4" Type="http://schemas.openxmlformats.org/officeDocument/2006/relationships/hyperlink" Target="https://www.eaton.com.cn/content/dam/eaton/products/electrical-circuit-protection/circuit-breakers/e6-series/eaton-e6-catalogue-en-cn.pdf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aton.com.cn/content/dam/eaton/products/electrical-circuit-protection/circuit-breakers/e6-series/eaton-e6-catalogue-en-cn.pdf" TargetMode="External"/><Relationship Id="rId18" Type="http://schemas.openxmlformats.org/officeDocument/2006/relationships/hyperlink" Target="https://www.eaton.com.cn/content/dam/eaton/products/electrical-circuit-protection/circuit-breakers/e6-series/eaton-e6-catalogue-en-cn.pdf" TargetMode="External"/><Relationship Id="rId26" Type="http://schemas.openxmlformats.org/officeDocument/2006/relationships/hyperlink" Target="https://www.eaton.com.cn/content/dam/eaton/products/electrical-circuit-protection/circuit-breakers/e6-series/eaton-e6-catalogue-en-cn.pdf" TargetMode="External"/><Relationship Id="rId39" Type="http://schemas.openxmlformats.org/officeDocument/2006/relationships/hyperlink" Target="https://www.eaton.com.cn/content/dam/eaton/products/electrical-circuit-protection/circuit-breakers/e6-series/eaton-e6-catalogue-en-cn.pdf" TargetMode="External"/><Relationship Id="rId21" Type="http://schemas.openxmlformats.org/officeDocument/2006/relationships/hyperlink" Target="https://www.eaton.com.cn/content/dam/eaton/products/electrical-circuit-protection/circuit-breakers/e6-series/eaton-e6-catalogue-en-cn.pdf" TargetMode="External"/><Relationship Id="rId34" Type="http://schemas.openxmlformats.org/officeDocument/2006/relationships/hyperlink" Target="https://www.eaton.com.cn/content/dam/eaton/products/electrical-circuit-protection/circuit-breakers/e6-series/eaton-e6-catalogue-en-cn.pdf" TargetMode="External"/><Relationship Id="rId7" Type="http://schemas.openxmlformats.org/officeDocument/2006/relationships/hyperlink" Target="https://www.eaton.com.cn/content/dam/eaton/products/electrical-circuit-protection/circuit-breakers/e6-series/eaton-e6-catalogue-en-cn.pdf" TargetMode="External"/><Relationship Id="rId12" Type="http://schemas.openxmlformats.org/officeDocument/2006/relationships/hyperlink" Target="https://www.eaton.com.cn/content/dam/eaton/products/electrical-circuit-protection/circuit-breakers/e6-series/eaton-e6-catalogue-en-cn.pdf" TargetMode="External"/><Relationship Id="rId17" Type="http://schemas.openxmlformats.org/officeDocument/2006/relationships/hyperlink" Target="https://www.eaton.com.cn/content/dam/eaton/products/electrical-circuit-protection/circuit-breakers/e6-series/eaton-e6-catalogue-en-cn.pdf" TargetMode="External"/><Relationship Id="rId25" Type="http://schemas.openxmlformats.org/officeDocument/2006/relationships/hyperlink" Target="https://www.eaton.com.cn/content/dam/eaton/products/electrical-circuit-protection/circuit-breakers/e6-series/eaton-e6-catalogue-en-cn.pdf" TargetMode="External"/><Relationship Id="rId33" Type="http://schemas.openxmlformats.org/officeDocument/2006/relationships/hyperlink" Target="https://www.eaton.com.cn/content/dam/eaton/products/electrical-circuit-protection/circuit-breakers/e6-series/eaton-e6-catalogue-en-cn.pdf" TargetMode="External"/><Relationship Id="rId38" Type="http://schemas.openxmlformats.org/officeDocument/2006/relationships/hyperlink" Target="https://www.eaton.com.cn/content/dam/eaton/products/electrical-circuit-protection/circuit-breakers/e6-series/eaton-e6-catalogue-en-cn.pdf" TargetMode="External"/><Relationship Id="rId2" Type="http://schemas.openxmlformats.org/officeDocument/2006/relationships/hyperlink" Target="https://www.eaton.com.cn/content/dam/eaton/products/electrical-circuit-protection/circuit-breakers/e6-series/eaton-e6-catalogue-en-cn.pdf" TargetMode="External"/><Relationship Id="rId16" Type="http://schemas.openxmlformats.org/officeDocument/2006/relationships/hyperlink" Target="https://www.eaton.com.cn/content/dam/eaton/products/electrical-circuit-protection/circuit-breakers/e6-series/eaton-e6-catalogue-en-cn.pdf" TargetMode="External"/><Relationship Id="rId20" Type="http://schemas.openxmlformats.org/officeDocument/2006/relationships/hyperlink" Target="https://www.eaton.com.cn/content/dam/eaton/products/electrical-circuit-protection/circuit-breakers/e6-series/eaton-e6-catalogue-en-cn.pdf" TargetMode="External"/><Relationship Id="rId29" Type="http://schemas.openxmlformats.org/officeDocument/2006/relationships/hyperlink" Target="https://www.eaton.com.cn/content/dam/eaton/products/electrical-circuit-protection/circuit-breakers/e6-series/eaton-e6-catalogue-en-cn.pdf" TargetMode="External"/><Relationship Id="rId1" Type="http://schemas.openxmlformats.org/officeDocument/2006/relationships/hyperlink" Target="https://www.eaton.com.cn/content/dam/eaton/products/electrical-circuit-protection/circuit-breakers/e6-series/eaton-e6-catalogue-en-cn.pdf" TargetMode="External"/><Relationship Id="rId6" Type="http://schemas.openxmlformats.org/officeDocument/2006/relationships/hyperlink" Target="https://www.eaton.com.cn/content/dam/eaton/products/electrical-circuit-protection/circuit-breakers/e6-series/eaton-e6-catalogue-en-cn.pdf" TargetMode="External"/><Relationship Id="rId11" Type="http://schemas.openxmlformats.org/officeDocument/2006/relationships/hyperlink" Target="https://www.eaton.com.cn/content/dam/eaton/products/electrical-circuit-protection/circuit-breakers/e6-series/eaton-e6-catalogue-en-cn.pdf" TargetMode="External"/><Relationship Id="rId24" Type="http://schemas.openxmlformats.org/officeDocument/2006/relationships/hyperlink" Target="https://www.eaton.com.cn/content/dam/eaton/products/electrical-circuit-protection/circuit-breakers/e6-series/eaton-e6-catalogue-en-cn.pdf" TargetMode="External"/><Relationship Id="rId32" Type="http://schemas.openxmlformats.org/officeDocument/2006/relationships/hyperlink" Target="https://www.eaton.com.cn/content/dam/eaton/products/electrical-circuit-protection/circuit-breakers/e6-series/eaton-e6-catalogue-en-cn.pdf" TargetMode="External"/><Relationship Id="rId37" Type="http://schemas.openxmlformats.org/officeDocument/2006/relationships/hyperlink" Target="https://www.eaton.com.cn/content/dam/eaton/products/electrical-circuit-protection/circuit-breakers/e6-series/eaton-e6-catalogue-en-cn.pdf" TargetMode="External"/><Relationship Id="rId40" Type="http://schemas.openxmlformats.org/officeDocument/2006/relationships/hyperlink" Target="https://www.eaton.com.cn/content/dam/eaton/products/electrical-circuit-protection/circuit-breakers/e6-series/eaton-e6-catalogue-en-cn.pdf" TargetMode="External"/><Relationship Id="rId5" Type="http://schemas.openxmlformats.org/officeDocument/2006/relationships/hyperlink" Target="https://www.eaton.com.cn/content/dam/eaton/products/electrical-circuit-protection/circuit-breakers/e6-series/eaton-e6-catalogue-en-cn.pdf" TargetMode="External"/><Relationship Id="rId15" Type="http://schemas.openxmlformats.org/officeDocument/2006/relationships/hyperlink" Target="https://www.eaton.com.cn/content/dam/eaton/products/electrical-circuit-protection/circuit-breakers/e6-series/eaton-e6-catalogue-en-cn.pdf" TargetMode="External"/><Relationship Id="rId23" Type="http://schemas.openxmlformats.org/officeDocument/2006/relationships/hyperlink" Target="https://www.eaton.com.cn/content/dam/eaton/products/electrical-circuit-protection/circuit-breakers/e6-series/eaton-e6-catalogue-en-cn.pdf" TargetMode="External"/><Relationship Id="rId28" Type="http://schemas.openxmlformats.org/officeDocument/2006/relationships/hyperlink" Target="https://www.eaton.com.cn/content/dam/eaton/products/electrical-circuit-protection/circuit-breakers/e6-series/eaton-e6-catalogue-en-cn.pdf" TargetMode="External"/><Relationship Id="rId36" Type="http://schemas.openxmlformats.org/officeDocument/2006/relationships/hyperlink" Target="https://www.eaton.com.cn/content/dam/eaton/products/electrical-circuit-protection/circuit-breakers/e6-series/eaton-e6-catalogue-en-cn.pdf" TargetMode="External"/><Relationship Id="rId10" Type="http://schemas.openxmlformats.org/officeDocument/2006/relationships/hyperlink" Target="https://www.eaton.com.cn/content/dam/eaton/products/electrical-circuit-protection/circuit-breakers/e6-series/eaton-e6-catalogue-en-cn.pdf" TargetMode="External"/><Relationship Id="rId19" Type="http://schemas.openxmlformats.org/officeDocument/2006/relationships/hyperlink" Target="https://www.eaton.com.cn/content/dam/eaton/products/electrical-circuit-protection/circuit-breakers/e6-series/eaton-e6-catalogue-en-cn.pdf" TargetMode="External"/><Relationship Id="rId31" Type="http://schemas.openxmlformats.org/officeDocument/2006/relationships/hyperlink" Target="https://www.eaton.com.cn/content/dam/eaton/products/electrical-circuit-protection/circuit-breakers/e6-series/eaton-e6-catalogue-en-cn.pdf" TargetMode="External"/><Relationship Id="rId4" Type="http://schemas.openxmlformats.org/officeDocument/2006/relationships/hyperlink" Target="https://www.eaton.com.cn/content/dam/eaton/products/electrical-circuit-protection/circuit-breakers/e6-series/eaton-e6-catalogue-en-cn.pdf" TargetMode="External"/><Relationship Id="rId9" Type="http://schemas.openxmlformats.org/officeDocument/2006/relationships/hyperlink" Target="https://www.eaton.com.cn/content/dam/eaton/products/electrical-circuit-protection/circuit-breakers/e6-series/eaton-e6-catalogue-en-cn.pdf" TargetMode="External"/><Relationship Id="rId14" Type="http://schemas.openxmlformats.org/officeDocument/2006/relationships/hyperlink" Target="https://www.eaton.com.cn/content/dam/eaton/products/electrical-circuit-protection/circuit-breakers/e6-series/eaton-e6-catalogue-en-cn.pdf" TargetMode="External"/><Relationship Id="rId22" Type="http://schemas.openxmlformats.org/officeDocument/2006/relationships/hyperlink" Target="https://www.eaton.com.cn/content/dam/eaton/products/electrical-circuit-protection/circuit-breakers/e6-series/eaton-e6-catalogue-en-cn.pdf" TargetMode="External"/><Relationship Id="rId27" Type="http://schemas.openxmlformats.org/officeDocument/2006/relationships/hyperlink" Target="https://www.eaton.com.cn/content/dam/eaton/products/electrical-circuit-protection/circuit-breakers/e6-series/eaton-e6-catalogue-en-cn.pdf" TargetMode="External"/><Relationship Id="rId30" Type="http://schemas.openxmlformats.org/officeDocument/2006/relationships/hyperlink" Target="https://www.eaton.com.cn/content/dam/eaton/products/electrical-circuit-protection/circuit-breakers/e6-series/eaton-e6-catalogue-en-cn.pdf" TargetMode="External"/><Relationship Id="rId35" Type="http://schemas.openxmlformats.org/officeDocument/2006/relationships/hyperlink" Target="https://www.eaton.com.cn/content/dam/eaton/products/electrical-circuit-protection/circuit-breakers/e6-series/eaton-e6-catalogue-en-cn.pdf" TargetMode="External"/><Relationship Id="rId8" Type="http://schemas.openxmlformats.org/officeDocument/2006/relationships/hyperlink" Target="https://www.eaton.com.cn/content/dam/eaton/products/electrical-circuit-protection/circuit-breakers/e6-series/eaton-e6-catalogue-en-cn.pdf" TargetMode="External"/><Relationship Id="rId3" Type="http://schemas.openxmlformats.org/officeDocument/2006/relationships/hyperlink" Target="https://www.eaton.com.cn/content/dam/eaton/products/electrical-circuit-protection/circuit-breakers/e6-series/eaton-e6-catalogue-en-c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3D160-5A48-4489-95A6-AD5E2584563C}">
  <dimension ref="A1:AS93"/>
  <sheetViews>
    <sheetView topLeftCell="A6" zoomScale="70" zoomScaleNormal="70" workbookViewId="0">
      <selection activeCell="H17" sqref="H17"/>
    </sheetView>
  </sheetViews>
  <sheetFormatPr defaultColWidth="11.42578125" defaultRowHeight="15" x14ac:dyDescent="0.25"/>
  <cols>
    <col min="1" max="1" width="17.5703125" style="39" customWidth="1"/>
    <col min="2" max="23" width="25.7109375" style="39" customWidth="1"/>
    <col min="24" max="24" width="4.7109375" style="39" customWidth="1"/>
    <col min="25" max="28" width="25.7109375" style="39" customWidth="1"/>
    <col min="29" max="29" width="4.7109375" style="39" customWidth="1"/>
    <col min="30" max="32" width="25.7109375" style="39" customWidth="1"/>
    <col min="33" max="33" width="4.7109375" style="39" customWidth="1"/>
    <col min="34" max="36" width="25.7109375" style="39" customWidth="1"/>
    <col min="37" max="37" width="4.7109375" style="39" customWidth="1"/>
    <col min="38" max="44" width="25.7109375" style="39" customWidth="1"/>
    <col min="45" max="45" width="16.28515625" style="39" customWidth="1"/>
    <col min="46" max="16384" width="11.42578125" style="39"/>
  </cols>
  <sheetData>
    <row r="1" spans="1:45" customFormat="1" ht="31.5" x14ac:dyDescent="0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45" customFormat="1" ht="2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45" customFormat="1" ht="32.25" thickBot="1" x14ac:dyDescent="0.55000000000000004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3"/>
      <c r="Q3" s="3"/>
      <c r="R3" s="3"/>
      <c r="S3" s="3"/>
      <c r="T3" s="3"/>
      <c r="U3" s="3"/>
      <c r="V3" s="3"/>
      <c r="W3" s="3"/>
      <c r="AD3" s="96" t="s">
        <v>2</v>
      </c>
      <c r="AE3" s="96"/>
      <c r="AF3" s="96"/>
      <c r="AH3" s="4"/>
      <c r="AI3" s="4"/>
      <c r="AJ3" s="4"/>
      <c r="AL3" s="4"/>
      <c r="AM3" s="4"/>
      <c r="AN3" s="4"/>
      <c r="AO3" s="4"/>
      <c r="AP3" s="4"/>
      <c r="AQ3" s="4"/>
      <c r="AR3" s="4"/>
    </row>
    <row r="4" spans="1:45" customFormat="1" ht="150.75" thickBot="1" x14ac:dyDescent="0.35">
      <c r="A4" s="5"/>
      <c r="B4" s="6" t="s">
        <v>3</v>
      </c>
      <c r="C4" s="6" t="s">
        <v>3</v>
      </c>
      <c r="D4" s="6" t="s">
        <v>3</v>
      </c>
      <c r="E4" s="6" t="s">
        <v>3</v>
      </c>
      <c r="F4" s="6" t="s">
        <v>3</v>
      </c>
      <c r="G4" s="7" t="s">
        <v>4</v>
      </c>
      <c r="H4" s="7" t="s">
        <v>4</v>
      </c>
      <c r="I4" s="7" t="s">
        <v>4</v>
      </c>
      <c r="J4" s="7" t="s">
        <v>4</v>
      </c>
      <c r="K4" s="7" t="s">
        <v>4</v>
      </c>
      <c r="L4" s="8" t="s">
        <v>5</v>
      </c>
      <c r="M4" s="8" t="s">
        <v>5</v>
      </c>
      <c r="N4" s="7" t="s">
        <v>4</v>
      </c>
      <c r="O4" s="7" t="s">
        <v>4</v>
      </c>
      <c r="P4" s="6" t="s">
        <v>3</v>
      </c>
      <c r="Q4" s="7" t="s">
        <v>4</v>
      </c>
      <c r="R4" s="7" t="s">
        <v>4</v>
      </c>
      <c r="S4" s="6" t="s">
        <v>3</v>
      </c>
      <c r="T4" s="6" t="s">
        <v>3</v>
      </c>
      <c r="U4" s="7" t="s">
        <v>4</v>
      </c>
      <c r="V4" s="7" t="s">
        <v>4</v>
      </c>
      <c r="W4" s="7" t="s">
        <v>4</v>
      </c>
      <c r="X4" s="9"/>
      <c r="Y4" s="10" t="s">
        <v>6</v>
      </c>
      <c r="Z4" s="10" t="s">
        <v>6</v>
      </c>
      <c r="AA4" s="10" t="s">
        <v>6</v>
      </c>
      <c r="AB4" s="10" t="s">
        <v>6</v>
      </c>
      <c r="AC4" s="11"/>
      <c r="AD4" s="7" t="s">
        <v>7</v>
      </c>
      <c r="AE4" s="7" t="s">
        <v>7</v>
      </c>
      <c r="AF4" s="7" t="s">
        <v>7</v>
      </c>
      <c r="AG4" s="11"/>
      <c r="AH4" s="7" t="s">
        <v>7</v>
      </c>
      <c r="AI4" s="7" t="s">
        <v>7</v>
      </c>
      <c r="AJ4" s="7" t="s">
        <v>7</v>
      </c>
      <c r="AK4" s="11"/>
      <c r="AL4" s="7" t="s">
        <v>4</v>
      </c>
      <c r="AM4" s="7" t="s">
        <v>4</v>
      </c>
      <c r="AN4" s="7" t="s">
        <v>4</v>
      </c>
      <c r="AO4" s="7" t="s">
        <v>4</v>
      </c>
      <c r="AP4" s="7" t="s">
        <v>4</v>
      </c>
      <c r="AQ4" s="7" t="s">
        <v>4</v>
      </c>
      <c r="AR4" s="7" t="s">
        <v>4</v>
      </c>
      <c r="AS4" s="7" t="s">
        <v>4</v>
      </c>
    </row>
    <row r="5" spans="1:45" s="17" customFormat="1" ht="31.5" x14ac:dyDescent="0.25">
      <c r="A5" s="12"/>
      <c r="B5" s="13" t="s">
        <v>8</v>
      </c>
      <c r="C5" s="13" t="s">
        <v>8</v>
      </c>
      <c r="D5" s="13" t="s">
        <v>8</v>
      </c>
      <c r="E5" s="13" t="s">
        <v>8</v>
      </c>
      <c r="F5" s="13" t="s">
        <v>8</v>
      </c>
      <c r="G5" s="13" t="s">
        <v>8</v>
      </c>
      <c r="H5" s="13" t="s">
        <v>8</v>
      </c>
      <c r="I5" s="13" t="s">
        <v>8</v>
      </c>
      <c r="J5" s="13" t="s">
        <v>8</v>
      </c>
      <c r="K5" s="13" t="s">
        <v>8</v>
      </c>
      <c r="L5" s="13" t="s">
        <v>8</v>
      </c>
      <c r="M5" s="13" t="s">
        <v>8</v>
      </c>
      <c r="N5" s="13" t="s">
        <v>8</v>
      </c>
      <c r="O5" s="13" t="s">
        <v>8</v>
      </c>
      <c r="P5" s="13" t="s">
        <v>8</v>
      </c>
      <c r="Q5" s="13" t="s">
        <v>8</v>
      </c>
      <c r="R5" s="13" t="s">
        <v>8</v>
      </c>
      <c r="S5" s="13" t="s">
        <v>8</v>
      </c>
      <c r="T5" s="13" t="s">
        <v>8</v>
      </c>
      <c r="U5" s="13" t="s">
        <v>8</v>
      </c>
      <c r="V5" s="13" t="s">
        <v>8</v>
      </c>
      <c r="W5" s="13" t="s">
        <v>8</v>
      </c>
      <c r="X5" s="14"/>
      <c r="Y5" s="15" t="s">
        <v>9</v>
      </c>
      <c r="Z5" s="15" t="s">
        <v>9</v>
      </c>
      <c r="AA5" s="15" t="s">
        <v>10</v>
      </c>
      <c r="AB5" s="15" t="s">
        <v>10</v>
      </c>
      <c r="AC5" s="16"/>
      <c r="AD5" s="13" t="s">
        <v>11</v>
      </c>
      <c r="AE5" s="13" t="s">
        <v>11</v>
      </c>
      <c r="AF5" s="13" t="s">
        <v>11</v>
      </c>
      <c r="AG5" s="16"/>
      <c r="AH5" s="13" t="s">
        <v>12</v>
      </c>
      <c r="AI5" s="13" t="s">
        <v>12</v>
      </c>
      <c r="AJ5" s="13" t="s">
        <v>12</v>
      </c>
      <c r="AK5" s="16"/>
      <c r="AL5" s="13" t="s">
        <v>12</v>
      </c>
      <c r="AM5" s="13" t="s">
        <v>12</v>
      </c>
      <c r="AN5" s="13" t="s">
        <v>12</v>
      </c>
      <c r="AO5" s="13" t="s">
        <v>12</v>
      </c>
      <c r="AP5" s="13" t="s">
        <v>12</v>
      </c>
      <c r="AQ5" s="13" t="s">
        <v>12</v>
      </c>
      <c r="AR5" s="13" t="s">
        <v>12</v>
      </c>
      <c r="AS5" s="13" t="s">
        <v>12</v>
      </c>
    </row>
    <row r="6" spans="1:45" customFormat="1" ht="37.5" x14ac:dyDescent="0.25">
      <c r="A6" s="18" t="s">
        <v>13</v>
      </c>
      <c r="B6" s="19" t="s">
        <v>14</v>
      </c>
      <c r="C6" s="19" t="s">
        <v>15</v>
      </c>
      <c r="D6" s="20" t="s">
        <v>16</v>
      </c>
      <c r="E6" s="20" t="s">
        <v>17</v>
      </c>
      <c r="F6" s="20" t="s">
        <v>18</v>
      </c>
      <c r="G6" s="20" t="s">
        <v>19</v>
      </c>
      <c r="H6" s="20" t="s">
        <v>20</v>
      </c>
      <c r="I6" s="20" t="s">
        <v>21</v>
      </c>
      <c r="J6" s="20" t="s">
        <v>22</v>
      </c>
      <c r="K6" s="21" t="s">
        <v>23</v>
      </c>
      <c r="L6" s="22" t="s">
        <v>24</v>
      </c>
      <c r="M6" s="20" t="s">
        <v>25</v>
      </c>
      <c r="N6" s="20" t="s">
        <v>26</v>
      </c>
      <c r="O6" s="20" t="s">
        <v>27</v>
      </c>
      <c r="P6" s="23" t="s">
        <v>28</v>
      </c>
      <c r="Q6" s="19" t="s">
        <v>29</v>
      </c>
      <c r="R6" s="19" t="s">
        <v>30</v>
      </c>
      <c r="S6" s="19" t="s">
        <v>31</v>
      </c>
      <c r="T6" s="19" t="s">
        <v>32</v>
      </c>
      <c r="U6" s="19" t="s">
        <v>33</v>
      </c>
      <c r="V6" s="19" t="s">
        <v>34</v>
      </c>
      <c r="W6" s="19" t="s">
        <v>35</v>
      </c>
      <c r="X6" s="24"/>
      <c r="Y6" s="20" t="s">
        <v>36</v>
      </c>
      <c r="Z6" s="20" t="s">
        <v>37</v>
      </c>
      <c r="AA6" s="20" t="s">
        <v>36</v>
      </c>
      <c r="AB6" s="20" t="s">
        <v>37</v>
      </c>
      <c r="AC6" s="25"/>
      <c r="AD6" s="20" t="s">
        <v>38</v>
      </c>
      <c r="AE6" s="20" t="s">
        <v>39</v>
      </c>
      <c r="AF6" s="20" t="s">
        <v>40</v>
      </c>
      <c r="AG6" s="25"/>
      <c r="AH6" s="20" t="s">
        <v>41</v>
      </c>
      <c r="AI6" s="20" t="s">
        <v>42</v>
      </c>
      <c r="AJ6" s="20" t="s">
        <v>43</v>
      </c>
      <c r="AK6" s="25"/>
      <c r="AL6" s="20" t="s">
        <v>44</v>
      </c>
      <c r="AM6" s="20" t="s">
        <v>45</v>
      </c>
      <c r="AN6" s="20" t="s">
        <v>45</v>
      </c>
      <c r="AO6" s="20" t="s">
        <v>46</v>
      </c>
      <c r="AP6" s="20" t="s">
        <v>46</v>
      </c>
      <c r="AQ6" s="20" t="s">
        <v>47</v>
      </c>
      <c r="AR6" s="20" t="s">
        <v>47</v>
      </c>
      <c r="AS6" s="20" t="s">
        <v>621</v>
      </c>
    </row>
    <row r="7" spans="1:45" customFormat="1" ht="56.25" x14ac:dyDescent="0.25">
      <c r="A7" s="26" t="s">
        <v>48</v>
      </c>
      <c r="B7" s="27" t="s">
        <v>49</v>
      </c>
      <c r="C7" s="27" t="s">
        <v>49</v>
      </c>
      <c r="D7" s="19" t="s">
        <v>16</v>
      </c>
      <c r="E7" s="19" t="s">
        <v>50</v>
      </c>
      <c r="F7" s="19" t="s">
        <v>51</v>
      </c>
      <c r="G7" s="19" t="s">
        <v>19</v>
      </c>
      <c r="H7" s="19" t="s">
        <v>20</v>
      </c>
      <c r="I7" s="19" t="s">
        <v>52</v>
      </c>
      <c r="J7" s="19" t="s">
        <v>53</v>
      </c>
      <c r="K7" s="21" t="s">
        <v>23</v>
      </c>
      <c r="L7" s="28" t="s">
        <v>24</v>
      </c>
      <c r="M7" s="19" t="s">
        <v>54</v>
      </c>
      <c r="N7" s="23" t="s">
        <v>26</v>
      </c>
      <c r="O7" s="19" t="s">
        <v>27</v>
      </c>
      <c r="P7" s="20" t="s">
        <v>28</v>
      </c>
      <c r="Q7" s="20" t="s">
        <v>29</v>
      </c>
      <c r="R7" s="20" t="s">
        <v>30</v>
      </c>
      <c r="S7" s="20" t="s">
        <v>31</v>
      </c>
      <c r="T7" s="20" t="s">
        <v>32</v>
      </c>
      <c r="U7" s="20" t="s">
        <v>33</v>
      </c>
      <c r="V7" s="20" t="s">
        <v>34</v>
      </c>
      <c r="W7" s="20" t="s">
        <v>35</v>
      </c>
      <c r="X7" s="29"/>
      <c r="Y7" s="20" t="s">
        <v>36</v>
      </c>
      <c r="Z7" s="20" t="s">
        <v>37</v>
      </c>
      <c r="AA7" s="20" t="s">
        <v>36</v>
      </c>
      <c r="AB7" s="20" t="s">
        <v>37</v>
      </c>
      <c r="AC7" s="30"/>
      <c r="AD7" s="20" t="s">
        <v>38</v>
      </c>
      <c r="AE7" s="20" t="s">
        <v>39</v>
      </c>
      <c r="AF7" s="20" t="s">
        <v>40</v>
      </c>
      <c r="AG7" s="30"/>
      <c r="AH7" s="20" t="s">
        <v>55</v>
      </c>
      <c r="AI7" s="20" t="s">
        <v>56</v>
      </c>
      <c r="AJ7" s="20" t="s">
        <v>57</v>
      </c>
      <c r="AK7" s="30"/>
      <c r="AL7" s="31" t="s">
        <v>58</v>
      </c>
      <c r="AM7" s="20" t="s">
        <v>59</v>
      </c>
      <c r="AN7" s="20" t="s">
        <v>60</v>
      </c>
      <c r="AO7" s="20" t="s">
        <v>61</v>
      </c>
      <c r="AP7" s="20" t="s">
        <v>62</v>
      </c>
      <c r="AQ7" s="20" t="s">
        <v>63</v>
      </c>
      <c r="AR7" s="20" t="s">
        <v>64</v>
      </c>
      <c r="AS7" s="20" t="s">
        <v>621</v>
      </c>
    </row>
    <row r="8" spans="1:45" customFormat="1" ht="337.5" x14ac:dyDescent="0.25">
      <c r="A8" s="32" t="s">
        <v>65</v>
      </c>
      <c r="B8" s="33" t="s">
        <v>66</v>
      </c>
      <c r="C8" s="34" t="s">
        <v>67</v>
      </c>
      <c r="D8" s="34" t="s">
        <v>68</v>
      </c>
      <c r="E8" s="34" t="s">
        <v>69</v>
      </c>
      <c r="F8" s="34" t="s">
        <v>70</v>
      </c>
      <c r="G8" s="34" t="s">
        <v>71</v>
      </c>
      <c r="H8" s="34" t="s">
        <v>72</v>
      </c>
      <c r="I8" s="34" t="s">
        <v>73</v>
      </c>
      <c r="J8" s="34" t="s">
        <v>74</v>
      </c>
      <c r="K8" s="34" t="s">
        <v>75</v>
      </c>
      <c r="L8" s="34" t="s">
        <v>76</v>
      </c>
      <c r="M8" s="34" t="s">
        <v>77</v>
      </c>
      <c r="N8" s="34" t="s">
        <v>78</v>
      </c>
      <c r="O8" s="34" t="s">
        <v>79</v>
      </c>
      <c r="P8" s="34" t="s">
        <v>80</v>
      </c>
      <c r="Q8" s="34" t="s">
        <v>81</v>
      </c>
      <c r="R8" s="34" t="s">
        <v>82</v>
      </c>
      <c r="S8" s="34" t="s">
        <v>83</v>
      </c>
      <c r="T8" s="34" t="s">
        <v>84</v>
      </c>
      <c r="U8" s="34" t="s">
        <v>85</v>
      </c>
      <c r="V8" s="34" t="s">
        <v>86</v>
      </c>
      <c r="W8" s="34" t="s">
        <v>87</v>
      </c>
      <c r="X8" s="14"/>
      <c r="Y8" s="34" t="s">
        <v>88</v>
      </c>
      <c r="Z8" s="34" t="s">
        <v>89</v>
      </c>
      <c r="AA8" s="34" t="s">
        <v>88</v>
      </c>
      <c r="AB8" s="34" t="s">
        <v>89</v>
      </c>
      <c r="AC8" s="14"/>
      <c r="AD8" s="34" t="s">
        <v>90</v>
      </c>
      <c r="AE8" s="34" t="s">
        <v>91</v>
      </c>
      <c r="AF8" s="34" t="s">
        <v>92</v>
      </c>
      <c r="AG8" s="14"/>
      <c r="AH8" s="34" t="s">
        <v>93</v>
      </c>
      <c r="AI8" s="34" t="s">
        <v>94</v>
      </c>
      <c r="AJ8" s="34" t="s">
        <v>95</v>
      </c>
      <c r="AK8" s="14"/>
      <c r="AL8" s="34" t="s">
        <v>96</v>
      </c>
      <c r="AM8" s="34" t="s">
        <v>97</v>
      </c>
      <c r="AN8" s="34" t="s">
        <v>98</v>
      </c>
      <c r="AO8" s="34" t="s">
        <v>99</v>
      </c>
      <c r="AP8" s="34" t="s">
        <v>100</v>
      </c>
      <c r="AQ8" s="34" t="s">
        <v>101</v>
      </c>
      <c r="AR8" s="34" t="s">
        <v>102</v>
      </c>
      <c r="AS8" s="34" t="s">
        <v>622</v>
      </c>
    </row>
    <row r="9" spans="1:45" customFormat="1" ht="18.75" x14ac:dyDescent="0.25">
      <c r="A9" s="32" t="s">
        <v>103</v>
      </c>
      <c r="B9" s="35" t="s">
        <v>104</v>
      </c>
      <c r="C9" s="35" t="s">
        <v>104</v>
      </c>
      <c r="D9" s="35" t="s">
        <v>104</v>
      </c>
      <c r="E9" s="35" t="s">
        <v>104</v>
      </c>
      <c r="F9" s="35" t="s">
        <v>104</v>
      </c>
      <c r="G9" s="35" t="s">
        <v>104</v>
      </c>
      <c r="H9" s="35" t="s">
        <v>104</v>
      </c>
      <c r="I9" s="35" t="s">
        <v>104</v>
      </c>
      <c r="J9" s="35" t="s">
        <v>104</v>
      </c>
      <c r="K9" s="36" t="s">
        <v>105</v>
      </c>
      <c r="L9" s="35" t="s">
        <v>104</v>
      </c>
      <c r="M9" s="35" t="s">
        <v>106</v>
      </c>
      <c r="N9" s="35" t="s">
        <v>107</v>
      </c>
      <c r="O9" s="35" t="s">
        <v>104</v>
      </c>
      <c r="P9" s="35" t="s">
        <v>104</v>
      </c>
      <c r="Q9" s="35" t="s">
        <v>104</v>
      </c>
      <c r="R9" s="35" t="s">
        <v>104</v>
      </c>
      <c r="S9" s="35" t="s">
        <v>104</v>
      </c>
      <c r="T9" s="35" t="s">
        <v>104</v>
      </c>
      <c r="U9" s="35" t="s">
        <v>104</v>
      </c>
      <c r="V9" s="35" t="s">
        <v>104</v>
      </c>
      <c r="W9" s="35" t="s">
        <v>104</v>
      </c>
      <c r="X9" s="37"/>
      <c r="Y9" s="35" t="s">
        <v>104</v>
      </c>
      <c r="Z9" s="35" t="s">
        <v>104</v>
      </c>
      <c r="AA9" s="35" t="s">
        <v>104</v>
      </c>
      <c r="AB9" s="35" t="s">
        <v>104</v>
      </c>
      <c r="AC9" s="14"/>
      <c r="AD9" s="38" t="s">
        <v>108</v>
      </c>
      <c r="AE9" s="38" t="s">
        <v>108</v>
      </c>
      <c r="AF9" s="38" t="s">
        <v>108</v>
      </c>
      <c r="AG9" s="14"/>
      <c r="AH9" s="38" t="s">
        <v>104</v>
      </c>
      <c r="AI9" s="38" t="s">
        <v>104</v>
      </c>
      <c r="AJ9" s="38" t="s">
        <v>104</v>
      </c>
      <c r="AK9" s="14"/>
      <c r="AL9" s="38" t="s">
        <v>104</v>
      </c>
      <c r="AM9" s="38" t="s">
        <v>109</v>
      </c>
      <c r="AN9" s="38" t="s">
        <v>109</v>
      </c>
      <c r="AO9" s="38" t="s">
        <v>109</v>
      </c>
      <c r="AP9" s="38" t="s">
        <v>109</v>
      </c>
      <c r="AQ9" s="38" t="s">
        <v>109</v>
      </c>
      <c r="AR9" s="38" t="s">
        <v>109</v>
      </c>
      <c r="AS9" s="38" t="s">
        <v>104</v>
      </c>
    </row>
    <row r="10" spans="1:45" x14ac:dyDescent="0.25">
      <c r="B10" s="39" t="s">
        <v>606</v>
      </c>
      <c r="C10" s="62" t="s">
        <v>608</v>
      </c>
      <c r="D10" s="62" t="s">
        <v>609</v>
      </c>
      <c r="E10" s="39" t="s">
        <v>643</v>
      </c>
      <c r="F10" s="39" t="s">
        <v>623</v>
      </c>
      <c r="G10" s="39" t="s">
        <v>663</v>
      </c>
      <c r="M10">
        <v>0.08</v>
      </c>
      <c r="S10" s="39" t="s">
        <v>666</v>
      </c>
      <c r="T10" s="39" t="s">
        <v>605</v>
      </c>
      <c r="Y10" s="39" t="s">
        <v>665</v>
      </c>
      <c r="Z10" s="39" t="s">
        <v>607</v>
      </c>
      <c r="AA10" s="39" t="s">
        <v>664</v>
      </c>
      <c r="AB10" s="39" t="s">
        <v>605</v>
      </c>
      <c r="AD10" s="39">
        <v>71.899000000000001</v>
      </c>
      <c r="AE10" s="39">
        <v>17.7</v>
      </c>
      <c r="AF10" s="39">
        <v>83.7</v>
      </c>
      <c r="AS10" s="39">
        <v>12</v>
      </c>
    </row>
    <row r="11" spans="1:45" x14ac:dyDescent="0.25">
      <c r="B11" s="39" t="s">
        <v>606</v>
      </c>
      <c r="C11" s="62" t="s">
        <v>608</v>
      </c>
      <c r="D11" s="62" t="s">
        <v>609</v>
      </c>
      <c r="E11" s="40" t="s">
        <v>644</v>
      </c>
      <c r="F11" s="40" t="s">
        <v>624</v>
      </c>
      <c r="G11" s="40" t="s">
        <v>663</v>
      </c>
      <c r="J11" s="40"/>
      <c r="K11" s="40"/>
      <c r="L11" s="40"/>
      <c r="M11">
        <f>M10*2</f>
        <v>0.16</v>
      </c>
      <c r="N11" s="40"/>
      <c r="O11" s="40"/>
      <c r="S11" s="39" t="s">
        <v>666</v>
      </c>
      <c r="T11" s="39" t="s">
        <v>605</v>
      </c>
      <c r="Y11" s="39" t="s">
        <v>665</v>
      </c>
      <c r="Z11" s="39" t="s">
        <v>607</v>
      </c>
      <c r="AA11" s="39" t="s">
        <v>664</v>
      </c>
      <c r="AB11" s="39" t="s">
        <v>605</v>
      </c>
      <c r="AD11" s="39">
        <v>71.899000000000001</v>
      </c>
      <c r="AE11" s="39">
        <v>35.4</v>
      </c>
      <c r="AF11" s="39">
        <v>83.7</v>
      </c>
      <c r="AS11" s="39">
        <v>6</v>
      </c>
    </row>
    <row r="12" spans="1:45" x14ac:dyDescent="0.25">
      <c r="B12" s="39" t="s">
        <v>606</v>
      </c>
      <c r="C12" s="62" t="s">
        <v>608</v>
      </c>
      <c r="D12" s="62" t="s">
        <v>609</v>
      </c>
      <c r="E12" s="39" t="s">
        <v>645</v>
      </c>
      <c r="F12" s="39" t="s">
        <v>625</v>
      </c>
      <c r="G12" s="39" t="s">
        <v>663</v>
      </c>
      <c r="M12">
        <f>M10*3</f>
        <v>0.24</v>
      </c>
      <c r="S12" s="39" t="s">
        <v>666</v>
      </c>
      <c r="T12" s="39" t="s">
        <v>605</v>
      </c>
      <c r="Y12" s="39" t="s">
        <v>665</v>
      </c>
      <c r="Z12" s="39" t="s">
        <v>607</v>
      </c>
      <c r="AA12" s="39" t="s">
        <v>664</v>
      </c>
      <c r="AB12" s="39" t="s">
        <v>605</v>
      </c>
      <c r="AD12" s="39">
        <v>71.899000000000001</v>
      </c>
      <c r="AE12" s="39">
        <v>53.1</v>
      </c>
      <c r="AF12" s="39">
        <v>83.7</v>
      </c>
      <c r="AS12" s="39">
        <v>4</v>
      </c>
    </row>
    <row r="13" spans="1:45" x14ac:dyDescent="0.25">
      <c r="B13" s="39" t="s">
        <v>606</v>
      </c>
      <c r="C13" s="62" t="s">
        <v>608</v>
      </c>
      <c r="D13" s="62" t="s">
        <v>609</v>
      </c>
      <c r="E13" s="39" t="s">
        <v>646</v>
      </c>
      <c r="F13" s="39" t="s">
        <v>626</v>
      </c>
      <c r="G13" s="39" t="s">
        <v>663</v>
      </c>
      <c r="M13">
        <f>M10*4</f>
        <v>0.32</v>
      </c>
      <c r="S13" s="39" t="s">
        <v>666</v>
      </c>
      <c r="T13" s="39" t="s">
        <v>605</v>
      </c>
      <c r="Y13" s="39" t="s">
        <v>665</v>
      </c>
      <c r="Z13" s="39" t="s">
        <v>607</v>
      </c>
      <c r="AA13" s="39" t="s">
        <v>664</v>
      </c>
      <c r="AB13" s="39" t="s">
        <v>605</v>
      </c>
      <c r="AD13" s="39">
        <v>71.899000000000001</v>
      </c>
      <c r="AE13" s="39">
        <v>70.8</v>
      </c>
      <c r="AF13" s="39">
        <v>83.7</v>
      </c>
      <c r="AS13" s="39">
        <v>3</v>
      </c>
    </row>
    <row r="14" spans="1:45" x14ac:dyDescent="0.25">
      <c r="B14" s="39" t="s">
        <v>606</v>
      </c>
      <c r="C14" s="62" t="s">
        <v>608</v>
      </c>
      <c r="D14" s="62" t="s">
        <v>609</v>
      </c>
      <c r="E14" s="39" t="s">
        <v>647</v>
      </c>
      <c r="F14" s="39" t="s">
        <v>627</v>
      </c>
      <c r="G14" s="39" t="s">
        <v>663</v>
      </c>
      <c r="M14">
        <v>0.08</v>
      </c>
      <c r="S14" s="39" t="s">
        <v>666</v>
      </c>
      <c r="T14" s="39" t="s">
        <v>605</v>
      </c>
      <c r="Y14" s="39" t="s">
        <v>665</v>
      </c>
      <c r="Z14" s="39" t="s">
        <v>607</v>
      </c>
      <c r="AA14" s="39" t="s">
        <v>664</v>
      </c>
      <c r="AB14" s="39" t="s">
        <v>605</v>
      </c>
      <c r="AD14" s="39">
        <v>71.899000000000001</v>
      </c>
      <c r="AE14" s="39">
        <v>17.7</v>
      </c>
      <c r="AF14" s="39">
        <v>83.7</v>
      </c>
      <c r="AS14" s="39">
        <v>12</v>
      </c>
    </row>
    <row r="15" spans="1:45" x14ac:dyDescent="0.25">
      <c r="B15" s="39" t="s">
        <v>606</v>
      </c>
      <c r="C15" s="62" t="s">
        <v>608</v>
      </c>
      <c r="D15" s="62" t="s">
        <v>609</v>
      </c>
      <c r="E15" s="39" t="s">
        <v>648</v>
      </c>
      <c r="F15" s="39" t="s">
        <v>628</v>
      </c>
      <c r="G15" s="39" t="s">
        <v>663</v>
      </c>
      <c r="M15">
        <f>M14*2</f>
        <v>0.16</v>
      </c>
      <c r="S15" s="39" t="s">
        <v>666</v>
      </c>
      <c r="T15" s="39" t="s">
        <v>605</v>
      </c>
      <c r="Y15" s="39" t="s">
        <v>665</v>
      </c>
      <c r="Z15" s="39" t="s">
        <v>607</v>
      </c>
      <c r="AA15" s="39" t="s">
        <v>664</v>
      </c>
      <c r="AB15" s="39" t="s">
        <v>605</v>
      </c>
      <c r="AD15" s="39">
        <v>71.899000000000001</v>
      </c>
      <c r="AE15" s="39">
        <v>35.4</v>
      </c>
      <c r="AF15" s="39">
        <v>83.7</v>
      </c>
      <c r="AS15" s="39">
        <v>6</v>
      </c>
    </row>
    <row r="16" spans="1:45" x14ac:dyDescent="0.25">
      <c r="B16" s="39" t="s">
        <v>606</v>
      </c>
      <c r="C16" s="62" t="s">
        <v>608</v>
      </c>
      <c r="D16" s="62" t="s">
        <v>609</v>
      </c>
      <c r="E16" s="39" t="s">
        <v>649</v>
      </c>
      <c r="F16" s="39" t="s">
        <v>629</v>
      </c>
      <c r="G16" s="39" t="s">
        <v>663</v>
      </c>
      <c r="M16">
        <f>M14*3</f>
        <v>0.24</v>
      </c>
      <c r="S16" s="39" t="s">
        <v>666</v>
      </c>
      <c r="T16" s="39" t="s">
        <v>605</v>
      </c>
      <c r="Y16" s="39" t="s">
        <v>665</v>
      </c>
      <c r="Z16" s="39" t="s">
        <v>607</v>
      </c>
      <c r="AA16" s="39" t="s">
        <v>664</v>
      </c>
      <c r="AB16" s="39" t="s">
        <v>605</v>
      </c>
      <c r="AD16" s="39">
        <v>71.899000000000001</v>
      </c>
      <c r="AE16" s="39">
        <v>53.1</v>
      </c>
      <c r="AF16" s="39">
        <v>83.7</v>
      </c>
      <c r="AS16" s="39">
        <v>4</v>
      </c>
    </row>
    <row r="17" spans="2:45" x14ac:dyDescent="0.25">
      <c r="B17" s="39" t="s">
        <v>606</v>
      </c>
      <c r="C17" s="62" t="s">
        <v>608</v>
      </c>
      <c r="D17" s="62" t="s">
        <v>609</v>
      </c>
      <c r="E17" s="39" t="s">
        <v>650</v>
      </c>
      <c r="F17" s="39" t="s">
        <v>630</v>
      </c>
      <c r="G17" s="39" t="s">
        <v>663</v>
      </c>
      <c r="M17">
        <f>M14*4</f>
        <v>0.32</v>
      </c>
      <c r="S17" s="39" t="s">
        <v>666</v>
      </c>
      <c r="T17" s="39" t="s">
        <v>605</v>
      </c>
      <c r="Y17" s="39" t="s">
        <v>665</v>
      </c>
      <c r="Z17" s="39" t="s">
        <v>607</v>
      </c>
      <c r="AA17" s="39" t="s">
        <v>664</v>
      </c>
      <c r="AB17" s="39" t="s">
        <v>605</v>
      </c>
      <c r="AD17" s="39">
        <v>71.899000000000001</v>
      </c>
      <c r="AE17" s="39">
        <v>70.8</v>
      </c>
      <c r="AF17" s="39">
        <v>83.7</v>
      </c>
      <c r="AS17" s="39">
        <v>3</v>
      </c>
    </row>
    <row r="18" spans="2:45" x14ac:dyDescent="0.25">
      <c r="B18" s="39" t="s">
        <v>606</v>
      </c>
      <c r="C18" s="62" t="s">
        <v>608</v>
      </c>
      <c r="D18" s="62" t="s">
        <v>609</v>
      </c>
      <c r="E18" s="39" t="s">
        <v>651</v>
      </c>
      <c r="F18" s="39" t="s">
        <v>631</v>
      </c>
      <c r="G18" s="39" t="s">
        <v>663</v>
      </c>
      <c r="M18">
        <v>0.08</v>
      </c>
      <c r="S18" s="39" t="s">
        <v>666</v>
      </c>
      <c r="T18" s="39" t="s">
        <v>605</v>
      </c>
      <c r="Y18" s="39" t="s">
        <v>665</v>
      </c>
      <c r="Z18" s="39" t="s">
        <v>607</v>
      </c>
      <c r="AA18" s="39" t="s">
        <v>664</v>
      </c>
      <c r="AB18" s="39" t="s">
        <v>605</v>
      </c>
      <c r="AD18" s="39">
        <v>71.899000000000001</v>
      </c>
      <c r="AE18" s="39">
        <v>17.7</v>
      </c>
      <c r="AF18" s="39">
        <v>83.7</v>
      </c>
      <c r="AS18" s="39">
        <v>12</v>
      </c>
    </row>
    <row r="19" spans="2:45" x14ac:dyDescent="0.25">
      <c r="B19" s="39" t="s">
        <v>606</v>
      </c>
      <c r="C19" s="62" t="s">
        <v>608</v>
      </c>
      <c r="D19" s="62" t="s">
        <v>609</v>
      </c>
      <c r="E19" s="39" t="s">
        <v>652</v>
      </c>
      <c r="F19" s="39" t="s">
        <v>632</v>
      </c>
      <c r="G19" s="39" t="s">
        <v>663</v>
      </c>
      <c r="M19">
        <f>M18*2</f>
        <v>0.16</v>
      </c>
      <c r="S19" s="39" t="s">
        <v>666</v>
      </c>
      <c r="T19" s="39" t="s">
        <v>605</v>
      </c>
      <c r="Y19" s="39" t="s">
        <v>665</v>
      </c>
      <c r="Z19" s="39" t="s">
        <v>607</v>
      </c>
      <c r="AA19" s="39" t="s">
        <v>664</v>
      </c>
      <c r="AB19" s="39" t="s">
        <v>605</v>
      </c>
      <c r="AD19" s="39">
        <v>71.899000000000001</v>
      </c>
      <c r="AE19" s="39">
        <v>35.4</v>
      </c>
      <c r="AF19" s="39">
        <v>83.7</v>
      </c>
      <c r="AS19" s="39">
        <v>6</v>
      </c>
    </row>
    <row r="20" spans="2:45" x14ac:dyDescent="0.25">
      <c r="B20" s="39" t="s">
        <v>606</v>
      </c>
      <c r="C20" s="62" t="s">
        <v>608</v>
      </c>
      <c r="D20" s="62" t="s">
        <v>609</v>
      </c>
      <c r="E20" s="39" t="s">
        <v>653</v>
      </c>
      <c r="F20" s="39" t="s">
        <v>633</v>
      </c>
      <c r="G20" s="39" t="s">
        <v>663</v>
      </c>
      <c r="M20">
        <f>M18*3</f>
        <v>0.24</v>
      </c>
      <c r="S20" s="39" t="s">
        <v>666</v>
      </c>
      <c r="T20" s="39" t="s">
        <v>605</v>
      </c>
      <c r="Y20" s="39" t="s">
        <v>665</v>
      </c>
      <c r="Z20" s="39" t="s">
        <v>607</v>
      </c>
      <c r="AA20" s="39" t="s">
        <v>664</v>
      </c>
      <c r="AB20" s="39" t="s">
        <v>605</v>
      </c>
      <c r="AD20" s="39">
        <v>71.899000000000001</v>
      </c>
      <c r="AE20" s="39">
        <v>53.1</v>
      </c>
      <c r="AF20" s="39">
        <v>83.7</v>
      </c>
      <c r="AS20" s="39">
        <v>4</v>
      </c>
    </row>
    <row r="21" spans="2:45" x14ac:dyDescent="0.25">
      <c r="B21" s="39" t="s">
        <v>606</v>
      </c>
      <c r="C21" s="62" t="s">
        <v>608</v>
      </c>
      <c r="D21" s="62" t="s">
        <v>609</v>
      </c>
      <c r="E21" s="39" t="s">
        <v>654</v>
      </c>
      <c r="F21" s="39" t="s">
        <v>634</v>
      </c>
      <c r="G21" s="39" t="s">
        <v>663</v>
      </c>
      <c r="M21">
        <f>M18*4</f>
        <v>0.32</v>
      </c>
      <c r="S21" s="39" t="s">
        <v>666</v>
      </c>
      <c r="T21" s="39" t="s">
        <v>605</v>
      </c>
      <c r="Y21" s="39" t="s">
        <v>665</v>
      </c>
      <c r="Z21" s="39" t="s">
        <v>607</v>
      </c>
      <c r="AA21" s="39" t="s">
        <v>664</v>
      </c>
      <c r="AB21" s="39" t="s">
        <v>605</v>
      </c>
      <c r="AD21" s="39">
        <v>71.899000000000001</v>
      </c>
      <c r="AE21" s="39">
        <v>70.8</v>
      </c>
      <c r="AF21" s="39">
        <v>83.7</v>
      </c>
      <c r="AS21" s="39">
        <v>3</v>
      </c>
    </row>
    <row r="22" spans="2:45" x14ac:dyDescent="0.25">
      <c r="B22" s="39" t="s">
        <v>606</v>
      </c>
      <c r="C22" s="62" t="s">
        <v>608</v>
      </c>
      <c r="D22" s="62" t="s">
        <v>609</v>
      </c>
      <c r="E22" s="39" t="s">
        <v>655</v>
      </c>
      <c r="F22" s="39" t="s">
        <v>635</v>
      </c>
      <c r="G22" s="39" t="s">
        <v>663</v>
      </c>
      <c r="M22">
        <v>0.08</v>
      </c>
      <c r="S22" s="39" t="s">
        <v>666</v>
      </c>
      <c r="T22" s="39" t="s">
        <v>605</v>
      </c>
      <c r="Y22" s="39" t="s">
        <v>665</v>
      </c>
      <c r="Z22" s="39" t="s">
        <v>607</v>
      </c>
      <c r="AA22" s="39" t="s">
        <v>664</v>
      </c>
      <c r="AB22" s="39" t="s">
        <v>605</v>
      </c>
      <c r="AD22" s="39">
        <v>71.899000000000001</v>
      </c>
      <c r="AE22" s="39">
        <v>17.7</v>
      </c>
      <c r="AF22" s="39">
        <v>83.7</v>
      </c>
      <c r="AS22" s="39">
        <v>12</v>
      </c>
    </row>
    <row r="23" spans="2:45" x14ac:dyDescent="0.25">
      <c r="B23" s="39" t="s">
        <v>606</v>
      </c>
      <c r="C23" s="62" t="s">
        <v>608</v>
      </c>
      <c r="D23" s="62" t="s">
        <v>609</v>
      </c>
      <c r="E23" s="39" t="s">
        <v>656</v>
      </c>
      <c r="F23" s="39" t="s">
        <v>636</v>
      </c>
      <c r="G23" s="39" t="s">
        <v>663</v>
      </c>
      <c r="M23">
        <f>M22*2</f>
        <v>0.16</v>
      </c>
      <c r="S23" s="39" t="s">
        <v>666</v>
      </c>
      <c r="T23" s="39" t="s">
        <v>605</v>
      </c>
      <c r="Y23" s="39" t="s">
        <v>665</v>
      </c>
      <c r="Z23" s="39" t="s">
        <v>607</v>
      </c>
      <c r="AA23" s="39" t="s">
        <v>664</v>
      </c>
      <c r="AB23" s="39" t="s">
        <v>605</v>
      </c>
      <c r="AD23" s="39">
        <v>71.899000000000001</v>
      </c>
      <c r="AE23" s="39">
        <v>35.4</v>
      </c>
      <c r="AF23" s="39">
        <v>83.7</v>
      </c>
      <c r="AS23" s="39">
        <v>6</v>
      </c>
    </row>
    <row r="24" spans="2:45" x14ac:dyDescent="0.25">
      <c r="B24" s="39" t="s">
        <v>606</v>
      </c>
      <c r="C24" s="62" t="s">
        <v>608</v>
      </c>
      <c r="D24" s="62" t="s">
        <v>609</v>
      </c>
      <c r="E24" s="39" t="s">
        <v>657</v>
      </c>
      <c r="F24" s="39" t="s">
        <v>637</v>
      </c>
      <c r="G24" s="39" t="s">
        <v>663</v>
      </c>
      <c r="M24">
        <f>M22*3</f>
        <v>0.24</v>
      </c>
      <c r="S24" s="39" t="s">
        <v>666</v>
      </c>
      <c r="T24" s="39" t="s">
        <v>605</v>
      </c>
      <c r="Y24" s="39" t="s">
        <v>665</v>
      </c>
      <c r="Z24" s="39" t="s">
        <v>607</v>
      </c>
      <c r="AA24" s="39" t="s">
        <v>664</v>
      </c>
      <c r="AB24" s="39" t="s">
        <v>605</v>
      </c>
      <c r="AD24" s="39">
        <v>71.899000000000001</v>
      </c>
      <c r="AE24" s="39">
        <v>53.1</v>
      </c>
      <c r="AF24" s="39">
        <v>83.7</v>
      </c>
      <c r="AS24" s="39">
        <v>4</v>
      </c>
    </row>
    <row r="25" spans="2:45" x14ac:dyDescent="0.25">
      <c r="B25" s="39" t="s">
        <v>606</v>
      </c>
      <c r="C25" s="62" t="s">
        <v>608</v>
      </c>
      <c r="D25" s="62" t="s">
        <v>609</v>
      </c>
      <c r="E25" s="39" t="s">
        <v>658</v>
      </c>
      <c r="F25" s="39" t="s">
        <v>638</v>
      </c>
      <c r="G25" s="39" t="s">
        <v>663</v>
      </c>
      <c r="M25">
        <f>M22*4</f>
        <v>0.32</v>
      </c>
      <c r="S25" s="39" t="s">
        <v>666</v>
      </c>
      <c r="T25" s="39" t="s">
        <v>605</v>
      </c>
      <c r="Y25" s="39" t="s">
        <v>665</v>
      </c>
      <c r="Z25" s="39" t="s">
        <v>607</v>
      </c>
      <c r="AA25" s="39" t="s">
        <v>664</v>
      </c>
      <c r="AB25" s="39" t="s">
        <v>605</v>
      </c>
      <c r="AD25" s="39">
        <v>71.899000000000001</v>
      </c>
      <c r="AE25" s="39">
        <v>70.8</v>
      </c>
      <c r="AF25" s="39">
        <v>83.7</v>
      </c>
      <c r="AS25" s="39">
        <v>3</v>
      </c>
    </row>
    <row r="26" spans="2:45" x14ac:dyDescent="0.25">
      <c r="B26" s="39" t="s">
        <v>606</v>
      </c>
      <c r="C26" s="62" t="s">
        <v>608</v>
      </c>
      <c r="D26" s="62" t="s">
        <v>609</v>
      </c>
      <c r="E26" s="39" t="s">
        <v>659</v>
      </c>
      <c r="F26" s="39" t="s">
        <v>639</v>
      </c>
      <c r="G26" s="39" t="s">
        <v>663</v>
      </c>
      <c r="M26">
        <v>0.08</v>
      </c>
      <c r="S26" s="39" t="s">
        <v>666</v>
      </c>
      <c r="T26" s="39" t="s">
        <v>605</v>
      </c>
      <c r="Y26" s="39" t="s">
        <v>665</v>
      </c>
      <c r="Z26" s="39" t="s">
        <v>607</v>
      </c>
      <c r="AA26" s="39" t="s">
        <v>664</v>
      </c>
      <c r="AB26" s="39" t="s">
        <v>605</v>
      </c>
      <c r="AD26" s="39">
        <v>71.899000000000001</v>
      </c>
      <c r="AE26" s="39">
        <v>17.7</v>
      </c>
      <c r="AF26" s="39">
        <v>83.7</v>
      </c>
      <c r="AS26" s="39">
        <v>12</v>
      </c>
    </row>
    <row r="27" spans="2:45" x14ac:dyDescent="0.25">
      <c r="B27" s="39" t="s">
        <v>606</v>
      </c>
      <c r="C27" s="62" t="s">
        <v>608</v>
      </c>
      <c r="D27" s="62" t="s">
        <v>609</v>
      </c>
      <c r="E27" s="39" t="s">
        <v>660</v>
      </c>
      <c r="F27" s="39" t="s">
        <v>640</v>
      </c>
      <c r="G27" s="39" t="s">
        <v>663</v>
      </c>
      <c r="M27">
        <f>M26*2</f>
        <v>0.16</v>
      </c>
      <c r="S27" s="39" t="s">
        <v>666</v>
      </c>
      <c r="T27" s="39" t="s">
        <v>605</v>
      </c>
      <c r="Y27" s="39" t="s">
        <v>665</v>
      </c>
      <c r="Z27" s="39" t="s">
        <v>607</v>
      </c>
      <c r="AA27" s="39" t="s">
        <v>664</v>
      </c>
      <c r="AB27" s="39" t="s">
        <v>605</v>
      </c>
      <c r="AD27" s="39">
        <v>71.899000000000001</v>
      </c>
      <c r="AE27" s="39">
        <v>35.4</v>
      </c>
      <c r="AF27" s="39">
        <v>83.7</v>
      </c>
      <c r="AS27" s="39">
        <v>6</v>
      </c>
    </row>
    <row r="28" spans="2:45" x14ac:dyDescent="0.25">
      <c r="B28" s="39" t="s">
        <v>606</v>
      </c>
      <c r="C28" s="62" t="s">
        <v>608</v>
      </c>
      <c r="D28" s="62" t="s">
        <v>609</v>
      </c>
      <c r="E28" s="39" t="s">
        <v>661</v>
      </c>
      <c r="F28" s="39" t="s">
        <v>641</v>
      </c>
      <c r="G28" s="39" t="s">
        <v>663</v>
      </c>
      <c r="M28">
        <f>M26*3</f>
        <v>0.24</v>
      </c>
      <c r="S28" s="39" t="s">
        <v>666</v>
      </c>
      <c r="T28" s="39" t="s">
        <v>605</v>
      </c>
      <c r="Y28" s="39" t="s">
        <v>665</v>
      </c>
      <c r="Z28" s="39" t="s">
        <v>607</v>
      </c>
      <c r="AA28" s="39" t="s">
        <v>664</v>
      </c>
      <c r="AB28" s="39" t="s">
        <v>605</v>
      </c>
      <c r="AD28" s="39">
        <v>71.899000000000001</v>
      </c>
      <c r="AE28" s="39">
        <v>53.1</v>
      </c>
      <c r="AF28" s="39">
        <v>83.7</v>
      </c>
      <c r="AS28" s="39">
        <v>4</v>
      </c>
    </row>
    <row r="29" spans="2:45" x14ac:dyDescent="0.25">
      <c r="B29" s="39" t="s">
        <v>606</v>
      </c>
      <c r="C29" s="62" t="s">
        <v>608</v>
      </c>
      <c r="D29" s="62" t="s">
        <v>609</v>
      </c>
      <c r="E29" s="39" t="s">
        <v>662</v>
      </c>
      <c r="F29" s="39" t="s">
        <v>642</v>
      </c>
      <c r="G29" s="39" t="s">
        <v>663</v>
      </c>
      <c r="M29">
        <f>M26*4</f>
        <v>0.32</v>
      </c>
      <c r="S29" s="39" t="s">
        <v>666</v>
      </c>
      <c r="T29" s="39" t="s">
        <v>605</v>
      </c>
      <c r="Y29" s="39" t="s">
        <v>665</v>
      </c>
      <c r="Z29" s="39" t="s">
        <v>607</v>
      </c>
      <c r="AA29" s="39" t="s">
        <v>664</v>
      </c>
      <c r="AB29" s="39" t="s">
        <v>605</v>
      </c>
      <c r="AD29" s="39">
        <v>71.899000000000001</v>
      </c>
      <c r="AE29" s="39">
        <v>70.8</v>
      </c>
      <c r="AF29" s="39">
        <v>83.7</v>
      </c>
      <c r="AS29" s="39">
        <v>3</v>
      </c>
    </row>
    <row r="30" spans="2:45" x14ac:dyDescent="0.25">
      <c r="C30" s="62"/>
      <c r="D30" s="62"/>
    </row>
    <row r="31" spans="2:45" x14ac:dyDescent="0.25">
      <c r="C31" s="62"/>
      <c r="D31" s="62"/>
    </row>
    <row r="32" spans="2:45" x14ac:dyDescent="0.25">
      <c r="C32" s="62"/>
      <c r="D32" s="62"/>
    </row>
    <row r="33" spans="3:4" x14ac:dyDescent="0.25">
      <c r="C33" s="62"/>
      <c r="D33" s="62"/>
    </row>
    <row r="34" spans="3:4" x14ac:dyDescent="0.25">
      <c r="C34" s="62"/>
      <c r="D34" s="62"/>
    </row>
    <row r="35" spans="3:4" x14ac:dyDescent="0.25">
      <c r="C35" s="62"/>
      <c r="D35" s="62"/>
    </row>
    <row r="36" spans="3:4" x14ac:dyDescent="0.25">
      <c r="C36" s="62"/>
      <c r="D36" s="62"/>
    </row>
    <row r="37" spans="3:4" x14ac:dyDescent="0.25">
      <c r="C37" s="62"/>
      <c r="D37" s="62"/>
    </row>
    <row r="38" spans="3:4" x14ac:dyDescent="0.25">
      <c r="C38" s="62"/>
      <c r="D38" s="62"/>
    </row>
    <row r="39" spans="3:4" x14ac:dyDescent="0.25">
      <c r="C39" s="62"/>
      <c r="D39" s="62"/>
    </row>
    <row r="40" spans="3:4" x14ac:dyDescent="0.25">
      <c r="C40" s="62"/>
      <c r="D40" s="62"/>
    </row>
    <row r="41" spans="3:4" x14ac:dyDescent="0.25">
      <c r="C41" s="62"/>
      <c r="D41" s="62"/>
    </row>
    <row r="42" spans="3:4" x14ac:dyDescent="0.25">
      <c r="C42" s="62"/>
      <c r="D42" s="62"/>
    </row>
    <row r="43" spans="3:4" x14ac:dyDescent="0.25">
      <c r="C43" s="62"/>
      <c r="D43" s="62"/>
    </row>
    <row r="44" spans="3:4" x14ac:dyDescent="0.25">
      <c r="C44" s="62"/>
      <c r="D44" s="62"/>
    </row>
    <row r="45" spans="3:4" x14ac:dyDescent="0.25">
      <c r="C45" s="62"/>
      <c r="D45" s="62"/>
    </row>
    <row r="46" spans="3:4" x14ac:dyDescent="0.25">
      <c r="C46" s="62"/>
      <c r="D46" s="62"/>
    </row>
    <row r="47" spans="3:4" x14ac:dyDescent="0.25">
      <c r="C47" s="62"/>
      <c r="D47" s="62"/>
    </row>
    <row r="48" spans="3:4" x14ac:dyDescent="0.25">
      <c r="C48" s="62"/>
      <c r="D48" s="62"/>
    </row>
    <row r="49" spans="3:4" x14ac:dyDescent="0.25">
      <c r="C49" s="62"/>
      <c r="D49" s="62"/>
    </row>
    <row r="50" spans="3:4" x14ac:dyDescent="0.25">
      <c r="C50" s="62"/>
      <c r="D50" s="62"/>
    </row>
    <row r="51" spans="3:4" x14ac:dyDescent="0.25">
      <c r="C51" s="62"/>
      <c r="D51" s="62"/>
    </row>
    <row r="52" spans="3:4" x14ac:dyDescent="0.25">
      <c r="C52" s="62"/>
      <c r="D52" s="62"/>
    </row>
    <row r="53" spans="3:4" x14ac:dyDescent="0.25">
      <c r="C53" s="62"/>
      <c r="D53" s="62"/>
    </row>
    <row r="54" spans="3:4" x14ac:dyDescent="0.25">
      <c r="C54" s="62"/>
      <c r="D54" s="62"/>
    </row>
    <row r="55" spans="3:4" x14ac:dyDescent="0.25">
      <c r="C55" s="62"/>
      <c r="D55" s="62"/>
    </row>
    <row r="56" spans="3:4" x14ac:dyDescent="0.25">
      <c r="C56" s="62"/>
      <c r="D56" s="62"/>
    </row>
    <row r="57" spans="3:4" x14ac:dyDescent="0.25">
      <c r="C57" s="62"/>
      <c r="D57" s="62"/>
    </row>
    <row r="58" spans="3:4" x14ac:dyDescent="0.25">
      <c r="C58" s="62"/>
      <c r="D58" s="62"/>
    </row>
    <row r="59" spans="3:4" x14ac:dyDescent="0.25">
      <c r="C59" s="62"/>
      <c r="D59" s="62"/>
    </row>
    <row r="60" spans="3:4" x14ac:dyDescent="0.25">
      <c r="C60" s="62"/>
      <c r="D60" s="62"/>
    </row>
    <row r="61" spans="3:4" x14ac:dyDescent="0.25">
      <c r="C61" s="62"/>
      <c r="D61" s="62"/>
    </row>
    <row r="62" spans="3:4" x14ac:dyDescent="0.25">
      <c r="C62" s="62"/>
      <c r="D62" s="62"/>
    </row>
    <row r="63" spans="3:4" x14ac:dyDescent="0.25">
      <c r="C63" s="62"/>
      <c r="D63" s="62"/>
    </row>
    <row r="64" spans="3:4" x14ac:dyDescent="0.25">
      <c r="C64" s="62"/>
      <c r="D64" s="62"/>
    </row>
    <row r="65" spans="3:4" x14ac:dyDescent="0.25">
      <c r="C65" s="62"/>
      <c r="D65" s="62"/>
    </row>
    <row r="66" spans="3:4" x14ac:dyDescent="0.25">
      <c r="C66" s="62"/>
      <c r="D66" s="62"/>
    </row>
    <row r="67" spans="3:4" x14ac:dyDescent="0.25">
      <c r="C67" s="62"/>
      <c r="D67" s="62"/>
    </row>
    <row r="68" spans="3:4" x14ac:dyDescent="0.25">
      <c r="C68" s="62"/>
      <c r="D68" s="62"/>
    </row>
    <row r="69" spans="3:4" x14ac:dyDescent="0.25">
      <c r="C69" s="62"/>
      <c r="D69" s="62"/>
    </row>
    <row r="70" spans="3:4" x14ac:dyDescent="0.25">
      <c r="C70" s="62"/>
      <c r="D70" s="62"/>
    </row>
    <row r="71" spans="3:4" x14ac:dyDescent="0.25">
      <c r="C71" s="62"/>
      <c r="D71" s="62"/>
    </row>
    <row r="72" spans="3:4" x14ac:dyDescent="0.25">
      <c r="C72" s="62"/>
      <c r="D72" s="62"/>
    </row>
    <row r="73" spans="3:4" x14ac:dyDescent="0.25">
      <c r="C73" s="62"/>
      <c r="D73" s="62"/>
    </row>
    <row r="74" spans="3:4" x14ac:dyDescent="0.25">
      <c r="C74" s="62"/>
      <c r="D74" s="62"/>
    </row>
    <row r="75" spans="3:4" x14ac:dyDescent="0.25">
      <c r="C75" s="62"/>
      <c r="D75" s="62"/>
    </row>
    <row r="76" spans="3:4" x14ac:dyDescent="0.25">
      <c r="C76" s="62"/>
      <c r="D76" s="62"/>
    </row>
    <row r="77" spans="3:4" x14ac:dyDescent="0.25">
      <c r="C77" s="62"/>
      <c r="D77" s="62"/>
    </row>
    <row r="78" spans="3:4" x14ac:dyDescent="0.25">
      <c r="C78" s="62"/>
      <c r="D78" s="62"/>
    </row>
    <row r="79" spans="3:4" x14ac:dyDescent="0.25">
      <c r="C79" s="62"/>
      <c r="D79" s="62"/>
    </row>
    <row r="80" spans="3:4" x14ac:dyDescent="0.25">
      <c r="C80" s="62"/>
      <c r="D80" s="62"/>
    </row>
    <row r="81" spans="3:4" x14ac:dyDescent="0.25">
      <c r="C81" s="62"/>
      <c r="D81" s="62"/>
    </row>
    <row r="82" spans="3:4" x14ac:dyDescent="0.25">
      <c r="C82" s="62"/>
      <c r="D82" s="62"/>
    </row>
    <row r="83" spans="3:4" x14ac:dyDescent="0.25">
      <c r="C83" s="62"/>
      <c r="D83" s="62"/>
    </row>
    <row r="84" spans="3:4" x14ac:dyDescent="0.25">
      <c r="C84" s="62"/>
      <c r="D84" s="62"/>
    </row>
    <row r="85" spans="3:4" x14ac:dyDescent="0.25">
      <c r="C85" s="62"/>
      <c r="D85" s="62"/>
    </row>
    <row r="86" spans="3:4" x14ac:dyDescent="0.25">
      <c r="C86" s="62"/>
      <c r="D86" s="62"/>
    </row>
    <row r="87" spans="3:4" x14ac:dyDescent="0.25">
      <c r="C87" s="62"/>
      <c r="D87" s="62"/>
    </row>
    <row r="88" spans="3:4" x14ac:dyDescent="0.25">
      <c r="C88" s="62"/>
      <c r="D88" s="62"/>
    </row>
    <row r="89" spans="3:4" x14ac:dyDescent="0.25">
      <c r="C89" s="62"/>
      <c r="D89" s="62"/>
    </row>
    <row r="90" spans="3:4" x14ac:dyDescent="0.25">
      <c r="C90" s="62"/>
      <c r="D90" s="62"/>
    </row>
    <row r="91" spans="3:4" x14ac:dyDescent="0.25">
      <c r="C91" s="62"/>
      <c r="D91" s="62"/>
    </row>
    <row r="92" spans="3:4" x14ac:dyDescent="0.25">
      <c r="C92" s="62"/>
      <c r="D92" s="62"/>
    </row>
    <row r="93" spans="3:4" x14ac:dyDescent="0.25">
      <c r="C93" s="62"/>
      <c r="D93" s="62"/>
    </row>
  </sheetData>
  <mergeCells count="1">
    <mergeCell ref="AD3:AF3"/>
  </mergeCells>
  <hyperlinks>
    <hyperlink ref="L7" location="CNS_ELECTRO_MATERIAL_HELP" display="CNS_ELECTRO_MATERIAL" xr:uid="{32C5542E-0974-4ABD-8137-0D0B8EE6E579}"/>
    <hyperlink ref="L6" location="Help!A3" display="CNS_ELETRO_MATERIAL" xr:uid="{64DD9A98-F918-4301-88B6-C9BC9442495E}"/>
    <hyperlink ref="AL7" location="AAO336_mounting_orientation_HELP" display="CNS_MOUNTING_ORIENTATION" xr:uid="{035F2050-7DFA-495B-876F-3F7AB36031C3}"/>
    <hyperlink ref="C10" r:id="rId1" xr:uid="{73628904-1BAD-4985-B13F-4BF37EC56B3C}"/>
    <hyperlink ref="C11:C93" r:id="rId2" display="https://www.eaton.com/us/en-us.html" xr:uid="{2365FF8B-F004-4DBF-8A06-9979033C441A}"/>
    <hyperlink ref="D10" r:id="rId3" xr:uid="{D8E11194-18DB-4EF8-A0ED-CA035AC084A2}"/>
    <hyperlink ref="D11:D93" r:id="rId4" display="https://www.eaton.com.cn/content/dam/eaton/products/electrical-circuit-protection/circuit-breakers/e6-series/eaton-e6-catalogue-en-cn.pdf" xr:uid="{8373806C-3D15-428A-A7D0-79AFD5C5978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E0FCD-207E-49DF-858F-D29E5A7778C3}">
  <dimension ref="A1:I112"/>
  <sheetViews>
    <sheetView topLeftCell="A2" zoomScale="70" zoomScaleNormal="70" workbookViewId="0">
      <selection activeCell="D34" sqref="D34"/>
    </sheetView>
  </sheetViews>
  <sheetFormatPr defaultColWidth="11.42578125" defaultRowHeight="15" x14ac:dyDescent="0.25"/>
  <cols>
    <col min="1" max="1" width="12.5703125" style="39" bestFit="1" customWidth="1"/>
    <col min="2" max="2" width="25.7109375" style="39" customWidth="1"/>
    <col min="3" max="3" width="13.28515625" style="39" customWidth="1"/>
    <col min="4" max="4" width="25.7109375" style="39" customWidth="1"/>
    <col min="5" max="5" width="69.5703125" style="39" bestFit="1" customWidth="1"/>
    <col min="6" max="7" width="28" style="39" bestFit="1" customWidth="1"/>
    <col min="8" max="8" width="30.7109375" style="39" customWidth="1"/>
    <col min="9" max="9" width="28" style="39" bestFit="1" customWidth="1"/>
    <col min="10" max="16384" width="11.42578125" style="39"/>
  </cols>
  <sheetData>
    <row r="1" spans="1:9" ht="32.25" thickBot="1" x14ac:dyDescent="0.3">
      <c r="A1" s="41" t="s">
        <v>110</v>
      </c>
      <c r="B1" s="42"/>
      <c r="C1" s="42"/>
      <c r="D1" s="42"/>
      <c r="E1" s="43" t="s">
        <v>111</v>
      </c>
      <c r="F1" s="43" t="s">
        <v>111</v>
      </c>
      <c r="G1" s="43" t="s">
        <v>111</v>
      </c>
      <c r="H1" s="43" t="s">
        <v>111</v>
      </c>
      <c r="I1" s="44" t="s">
        <v>111</v>
      </c>
    </row>
    <row r="2" spans="1:9" customFormat="1" ht="57" thickBot="1" x14ac:dyDescent="0.3">
      <c r="A2" s="45" t="s">
        <v>112</v>
      </c>
      <c r="B2" s="6" t="s">
        <v>113</v>
      </c>
      <c r="C2" s="7" t="s">
        <v>4</v>
      </c>
      <c r="D2" s="7" t="s">
        <v>4</v>
      </c>
      <c r="E2" s="7" t="s">
        <v>4</v>
      </c>
      <c r="F2" s="7" t="s">
        <v>4</v>
      </c>
      <c r="G2" s="7" t="s">
        <v>4</v>
      </c>
      <c r="H2" s="7" t="s">
        <v>4</v>
      </c>
      <c r="I2" s="46" t="s">
        <v>114</v>
      </c>
    </row>
    <row r="3" spans="1:9" s="51" customFormat="1" ht="48" thickBot="1" x14ac:dyDescent="0.3">
      <c r="A3" s="47" t="s">
        <v>115</v>
      </c>
      <c r="B3" s="48" t="s">
        <v>8</v>
      </c>
      <c r="C3" s="49" t="s">
        <v>116</v>
      </c>
      <c r="D3" s="49" t="s">
        <v>116</v>
      </c>
      <c r="E3" s="49" t="s">
        <v>116</v>
      </c>
      <c r="F3" s="49" t="s">
        <v>116</v>
      </c>
      <c r="G3" s="49" t="s">
        <v>116</v>
      </c>
      <c r="H3" s="49" t="s">
        <v>116</v>
      </c>
      <c r="I3" s="50" t="s">
        <v>116</v>
      </c>
    </row>
    <row r="4" spans="1:9" s="54" customFormat="1" ht="32.25" thickBot="1" x14ac:dyDescent="0.3">
      <c r="A4" s="13" t="s">
        <v>117</v>
      </c>
      <c r="B4" s="52" t="s">
        <v>69</v>
      </c>
      <c r="C4" s="52" t="s">
        <v>118</v>
      </c>
      <c r="D4" s="52" t="s">
        <v>119</v>
      </c>
      <c r="E4" s="52" t="s">
        <v>120</v>
      </c>
      <c r="F4" s="52" t="s">
        <v>121</v>
      </c>
      <c r="G4" s="52" t="s">
        <v>122</v>
      </c>
      <c r="H4" s="52" t="s">
        <v>123</v>
      </c>
      <c r="I4" s="53" t="s">
        <v>124</v>
      </c>
    </row>
    <row r="5" spans="1:9" ht="15.75" thickBot="1" x14ac:dyDescent="0.3">
      <c r="A5" s="47" t="s">
        <v>125</v>
      </c>
      <c r="B5" s="55"/>
      <c r="C5" s="56"/>
      <c r="D5" s="56"/>
      <c r="E5" s="56" t="s">
        <v>126</v>
      </c>
      <c r="F5" s="57" t="s">
        <v>127</v>
      </c>
      <c r="G5" s="56" t="s">
        <v>128</v>
      </c>
      <c r="H5" s="56" t="s">
        <v>129</v>
      </c>
      <c r="I5" s="58"/>
    </row>
    <row r="6" spans="1:9" ht="150" x14ac:dyDescent="0.25">
      <c r="A6" s="47" t="s">
        <v>123</v>
      </c>
      <c r="B6" s="34" t="s">
        <v>69</v>
      </c>
      <c r="C6" s="59" t="s">
        <v>130</v>
      </c>
      <c r="D6" s="59" t="s">
        <v>131</v>
      </c>
      <c r="E6" s="59" t="s">
        <v>132</v>
      </c>
      <c r="F6" s="59" t="s">
        <v>133</v>
      </c>
      <c r="G6" s="59" t="s">
        <v>134</v>
      </c>
      <c r="H6" s="59" t="s">
        <v>135</v>
      </c>
      <c r="I6" s="60" t="s">
        <v>136</v>
      </c>
    </row>
    <row r="7" spans="1:9" x14ac:dyDescent="0.25">
      <c r="A7" s="61" t="s">
        <v>137</v>
      </c>
    </row>
    <row r="8" spans="1:9" x14ac:dyDescent="0.25">
      <c r="A8" s="61"/>
      <c r="B8" s="39" t="s">
        <v>643</v>
      </c>
      <c r="C8" s="39">
        <v>1</v>
      </c>
      <c r="E8" s="62" t="s">
        <v>609</v>
      </c>
      <c r="F8" s="39" t="s">
        <v>138</v>
      </c>
      <c r="H8" s="39" t="s">
        <v>611</v>
      </c>
    </row>
    <row r="9" spans="1:9" x14ac:dyDescent="0.25">
      <c r="B9" s="40" t="s">
        <v>644</v>
      </c>
      <c r="C9" s="39">
        <v>1</v>
      </c>
      <c r="E9" s="62" t="s">
        <v>609</v>
      </c>
      <c r="F9" s="39" t="s">
        <v>138</v>
      </c>
      <c r="H9" s="39" t="s">
        <v>611</v>
      </c>
    </row>
    <row r="10" spans="1:9" x14ac:dyDescent="0.25">
      <c r="B10" s="39" t="s">
        <v>645</v>
      </c>
      <c r="C10" s="39">
        <v>1</v>
      </c>
      <c r="E10" s="62" t="s">
        <v>609</v>
      </c>
      <c r="F10" s="39" t="s">
        <v>138</v>
      </c>
      <c r="H10" s="39" t="s">
        <v>611</v>
      </c>
    </row>
    <row r="11" spans="1:9" x14ac:dyDescent="0.25">
      <c r="B11" s="39" t="s">
        <v>646</v>
      </c>
      <c r="C11" s="39">
        <v>1</v>
      </c>
      <c r="E11" s="62" t="s">
        <v>609</v>
      </c>
      <c r="F11" s="39" t="s">
        <v>138</v>
      </c>
      <c r="H11" s="39" t="s">
        <v>611</v>
      </c>
    </row>
    <row r="12" spans="1:9" x14ac:dyDescent="0.25">
      <c r="B12" s="39" t="s">
        <v>647</v>
      </c>
      <c r="C12" s="39">
        <v>1</v>
      </c>
      <c r="E12" s="62" t="s">
        <v>609</v>
      </c>
      <c r="F12" s="39" t="s">
        <v>138</v>
      </c>
      <c r="H12" s="39" t="s">
        <v>611</v>
      </c>
    </row>
    <row r="13" spans="1:9" x14ac:dyDescent="0.25">
      <c r="B13" s="39" t="s">
        <v>648</v>
      </c>
      <c r="C13" s="39">
        <v>1</v>
      </c>
      <c r="E13" s="62" t="s">
        <v>609</v>
      </c>
      <c r="F13" s="39" t="s">
        <v>138</v>
      </c>
      <c r="H13" s="39" t="s">
        <v>611</v>
      </c>
    </row>
    <row r="14" spans="1:9" x14ac:dyDescent="0.25">
      <c r="B14" s="39" t="s">
        <v>649</v>
      </c>
      <c r="C14" s="39">
        <v>1</v>
      </c>
      <c r="E14" s="62" t="s">
        <v>609</v>
      </c>
      <c r="F14" s="39" t="s">
        <v>138</v>
      </c>
      <c r="H14" s="39" t="s">
        <v>611</v>
      </c>
    </row>
    <row r="15" spans="1:9" x14ac:dyDescent="0.25">
      <c r="B15" s="39" t="s">
        <v>650</v>
      </c>
      <c r="C15" s="39">
        <v>1</v>
      </c>
      <c r="E15" s="62" t="s">
        <v>609</v>
      </c>
      <c r="F15" s="39" t="s">
        <v>138</v>
      </c>
      <c r="H15" s="39" t="s">
        <v>611</v>
      </c>
    </row>
    <row r="16" spans="1:9" x14ac:dyDescent="0.25">
      <c r="B16" s="39" t="s">
        <v>651</v>
      </c>
      <c r="C16" s="39">
        <v>1</v>
      </c>
      <c r="E16" s="62" t="s">
        <v>609</v>
      </c>
      <c r="F16" s="39" t="s">
        <v>138</v>
      </c>
      <c r="H16" s="39" t="s">
        <v>611</v>
      </c>
    </row>
    <row r="17" spans="2:8" x14ac:dyDescent="0.25">
      <c r="B17" s="39" t="s">
        <v>652</v>
      </c>
      <c r="C17" s="39">
        <v>1</v>
      </c>
      <c r="E17" s="62" t="s">
        <v>609</v>
      </c>
      <c r="F17" s="39" t="s">
        <v>138</v>
      </c>
      <c r="H17" s="39" t="s">
        <v>611</v>
      </c>
    </row>
    <row r="18" spans="2:8" x14ac:dyDescent="0.25">
      <c r="B18" s="39" t="s">
        <v>653</v>
      </c>
      <c r="C18" s="39">
        <v>1</v>
      </c>
      <c r="E18" s="62" t="s">
        <v>609</v>
      </c>
      <c r="F18" s="39" t="s">
        <v>138</v>
      </c>
      <c r="H18" s="39" t="s">
        <v>611</v>
      </c>
    </row>
    <row r="19" spans="2:8" x14ac:dyDescent="0.25">
      <c r="B19" s="39" t="s">
        <v>654</v>
      </c>
      <c r="C19" s="39">
        <v>1</v>
      </c>
      <c r="E19" s="62" t="s">
        <v>609</v>
      </c>
      <c r="F19" s="39" t="s">
        <v>138</v>
      </c>
      <c r="H19" s="39" t="s">
        <v>611</v>
      </c>
    </row>
    <row r="20" spans="2:8" x14ac:dyDescent="0.25">
      <c r="B20" s="39" t="s">
        <v>655</v>
      </c>
      <c r="C20" s="39">
        <v>1</v>
      </c>
      <c r="E20" s="62" t="s">
        <v>609</v>
      </c>
      <c r="F20" s="39" t="s">
        <v>138</v>
      </c>
      <c r="H20" s="39" t="s">
        <v>611</v>
      </c>
    </row>
    <row r="21" spans="2:8" x14ac:dyDescent="0.25">
      <c r="B21" s="39" t="s">
        <v>656</v>
      </c>
      <c r="C21" s="39">
        <v>1</v>
      </c>
      <c r="E21" s="62" t="s">
        <v>609</v>
      </c>
      <c r="F21" s="39" t="s">
        <v>138</v>
      </c>
      <c r="H21" s="39" t="s">
        <v>611</v>
      </c>
    </row>
    <row r="22" spans="2:8" x14ac:dyDescent="0.25">
      <c r="B22" s="39" t="s">
        <v>657</v>
      </c>
      <c r="C22" s="39">
        <v>1</v>
      </c>
      <c r="E22" s="62" t="s">
        <v>609</v>
      </c>
      <c r="F22" s="39" t="s">
        <v>138</v>
      </c>
      <c r="H22" s="39" t="s">
        <v>611</v>
      </c>
    </row>
    <row r="23" spans="2:8" x14ac:dyDescent="0.25">
      <c r="B23" s="39" t="s">
        <v>658</v>
      </c>
      <c r="C23" s="39">
        <v>1</v>
      </c>
      <c r="E23" s="62" t="s">
        <v>609</v>
      </c>
      <c r="F23" s="39" t="s">
        <v>138</v>
      </c>
      <c r="H23" s="39" t="s">
        <v>611</v>
      </c>
    </row>
    <row r="24" spans="2:8" x14ac:dyDescent="0.25">
      <c r="B24" s="39" t="s">
        <v>659</v>
      </c>
      <c r="C24" s="39">
        <v>1</v>
      </c>
      <c r="E24" s="62" t="s">
        <v>609</v>
      </c>
      <c r="F24" s="39" t="s">
        <v>138</v>
      </c>
      <c r="H24" s="39" t="s">
        <v>611</v>
      </c>
    </row>
    <row r="25" spans="2:8" x14ac:dyDescent="0.25">
      <c r="B25" s="39" t="s">
        <v>660</v>
      </c>
      <c r="C25" s="39">
        <v>1</v>
      </c>
      <c r="E25" s="62" t="s">
        <v>609</v>
      </c>
      <c r="F25" s="39" t="s">
        <v>138</v>
      </c>
      <c r="H25" s="39" t="s">
        <v>611</v>
      </c>
    </row>
    <row r="26" spans="2:8" x14ac:dyDescent="0.25">
      <c r="B26" s="39" t="s">
        <v>661</v>
      </c>
      <c r="C26" s="39">
        <v>1</v>
      </c>
      <c r="E26" s="62" t="s">
        <v>609</v>
      </c>
      <c r="F26" s="39" t="s">
        <v>138</v>
      </c>
      <c r="H26" s="39" t="s">
        <v>611</v>
      </c>
    </row>
    <row r="27" spans="2:8" x14ac:dyDescent="0.25">
      <c r="B27" s="39" t="s">
        <v>662</v>
      </c>
      <c r="C27" s="39">
        <v>1</v>
      </c>
      <c r="E27" s="62" t="s">
        <v>609</v>
      </c>
      <c r="F27" s="39" t="s">
        <v>138</v>
      </c>
      <c r="H27" s="39" t="s">
        <v>611</v>
      </c>
    </row>
    <row r="28" spans="2:8" x14ac:dyDescent="0.25">
      <c r="E28" s="62"/>
    </row>
    <row r="29" spans="2:8" x14ac:dyDescent="0.25">
      <c r="B29" s="39" t="s">
        <v>643</v>
      </c>
      <c r="C29" s="39">
        <v>2</v>
      </c>
      <c r="E29" s="62" t="s">
        <v>609</v>
      </c>
      <c r="F29" s="39" t="s">
        <v>139</v>
      </c>
      <c r="H29" s="39" t="s">
        <v>610</v>
      </c>
    </row>
    <row r="30" spans="2:8" x14ac:dyDescent="0.25">
      <c r="B30" s="40" t="s">
        <v>644</v>
      </c>
      <c r="C30" s="39">
        <v>2</v>
      </c>
      <c r="E30" s="62" t="s">
        <v>609</v>
      </c>
      <c r="F30" s="39" t="s">
        <v>139</v>
      </c>
      <c r="H30" s="39" t="s">
        <v>610</v>
      </c>
    </row>
    <row r="31" spans="2:8" x14ac:dyDescent="0.25">
      <c r="B31" s="39" t="s">
        <v>645</v>
      </c>
      <c r="C31" s="39">
        <v>2</v>
      </c>
      <c r="E31" s="62" t="s">
        <v>609</v>
      </c>
      <c r="F31" s="39" t="s">
        <v>139</v>
      </c>
      <c r="H31" s="39" t="s">
        <v>610</v>
      </c>
    </row>
    <row r="32" spans="2:8" x14ac:dyDescent="0.25">
      <c r="B32" s="39" t="s">
        <v>646</v>
      </c>
      <c r="C32" s="39">
        <v>2</v>
      </c>
      <c r="E32" s="62" t="s">
        <v>609</v>
      </c>
      <c r="F32" s="39" t="s">
        <v>139</v>
      </c>
      <c r="H32" s="39" t="s">
        <v>610</v>
      </c>
    </row>
    <row r="33" spans="2:8" x14ac:dyDescent="0.25">
      <c r="B33" s="39" t="s">
        <v>647</v>
      </c>
      <c r="C33" s="39">
        <v>2</v>
      </c>
      <c r="E33" s="62" t="s">
        <v>609</v>
      </c>
      <c r="F33" s="39" t="s">
        <v>139</v>
      </c>
      <c r="H33" s="39" t="s">
        <v>610</v>
      </c>
    </row>
    <row r="34" spans="2:8" x14ac:dyDescent="0.25">
      <c r="B34" s="39" t="s">
        <v>648</v>
      </c>
      <c r="C34" s="39">
        <v>2</v>
      </c>
      <c r="E34" s="62" t="s">
        <v>609</v>
      </c>
      <c r="F34" s="39" t="s">
        <v>139</v>
      </c>
      <c r="H34" s="39" t="s">
        <v>610</v>
      </c>
    </row>
    <row r="35" spans="2:8" x14ac:dyDescent="0.25">
      <c r="B35" s="39" t="s">
        <v>649</v>
      </c>
      <c r="C35" s="39">
        <v>2</v>
      </c>
      <c r="E35" s="62" t="s">
        <v>609</v>
      </c>
      <c r="F35" s="39" t="s">
        <v>139</v>
      </c>
      <c r="H35" s="39" t="s">
        <v>610</v>
      </c>
    </row>
    <row r="36" spans="2:8" x14ac:dyDescent="0.25">
      <c r="B36" s="39" t="s">
        <v>650</v>
      </c>
      <c r="C36" s="39">
        <v>2</v>
      </c>
      <c r="E36" s="62" t="s">
        <v>609</v>
      </c>
      <c r="F36" s="39" t="s">
        <v>139</v>
      </c>
      <c r="H36" s="39" t="s">
        <v>610</v>
      </c>
    </row>
    <row r="37" spans="2:8" x14ac:dyDescent="0.25">
      <c r="B37" s="39" t="s">
        <v>651</v>
      </c>
      <c r="C37" s="39">
        <v>2</v>
      </c>
      <c r="E37" s="62" t="s">
        <v>609</v>
      </c>
      <c r="F37" s="39" t="s">
        <v>139</v>
      </c>
      <c r="H37" s="39" t="s">
        <v>610</v>
      </c>
    </row>
    <row r="38" spans="2:8" x14ac:dyDescent="0.25">
      <c r="B38" s="39" t="s">
        <v>652</v>
      </c>
      <c r="C38" s="39">
        <v>2</v>
      </c>
      <c r="E38" s="62" t="s">
        <v>609</v>
      </c>
      <c r="F38" s="39" t="s">
        <v>139</v>
      </c>
      <c r="H38" s="39" t="s">
        <v>610</v>
      </c>
    </row>
    <row r="39" spans="2:8" x14ac:dyDescent="0.25">
      <c r="B39" s="39" t="s">
        <v>653</v>
      </c>
      <c r="C39" s="39">
        <v>2</v>
      </c>
      <c r="E39" s="62" t="s">
        <v>609</v>
      </c>
      <c r="F39" s="39" t="s">
        <v>139</v>
      </c>
      <c r="H39" s="39" t="s">
        <v>610</v>
      </c>
    </row>
    <row r="40" spans="2:8" x14ac:dyDescent="0.25">
      <c r="B40" s="39" t="s">
        <v>654</v>
      </c>
      <c r="C40" s="39">
        <v>2</v>
      </c>
      <c r="E40" s="62" t="s">
        <v>609</v>
      </c>
      <c r="F40" s="39" t="s">
        <v>139</v>
      </c>
      <c r="H40" s="39" t="s">
        <v>610</v>
      </c>
    </row>
    <row r="41" spans="2:8" x14ac:dyDescent="0.25">
      <c r="B41" s="39" t="s">
        <v>655</v>
      </c>
      <c r="C41" s="39">
        <v>2</v>
      </c>
      <c r="E41" s="62" t="s">
        <v>609</v>
      </c>
      <c r="F41" s="39" t="s">
        <v>139</v>
      </c>
      <c r="H41" s="39" t="s">
        <v>610</v>
      </c>
    </row>
    <row r="42" spans="2:8" x14ac:dyDescent="0.25">
      <c r="B42" s="39" t="s">
        <v>656</v>
      </c>
      <c r="C42" s="39">
        <v>2</v>
      </c>
      <c r="E42" s="62" t="s">
        <v>609</v>
      </c>
      <c r="F42" s="39" t="s">
        <v>139</v>
      </c>
      <c r="H42" s="39" t="s">
        <v>610</v>
      </c>
    </row>
    <row r="43" spans="2:8" x14ac:dyDescent="0.25">
      <c r="B43" s="39" t="s">
        <v>657</v>
      </c>
      <c r="C43" s="39">
        <v>2</v>
      </c>
      <c r="E43" s="62" t="s">
        <v>609</v>
      </c>
      <c r="F43" s="39" t="s">
        <v>139</v>
      </c>
      <c r="H43" s="39" t="s">
        <v>610</v>
      </c>
    </row>
    <row r="44" spans="2:8" x14ac:dyDescent="0.25">
      <c r="B44" s="39" t="s">
        <v>658</v>
      </c>
      <c r="C44" s="39">
        <v>2</v>
      </c>
      <c r="E44" s="62" t="s">
        <v>609</v>
      </c>
      <c r="F44" s="39" t="s">
        <v>139</v>
      </c>
      <c r="H44" s="39" t="s">
        <v>610</v>
      </c>
    </row>
    <row r="45" spans="2:8" x14ac:dyDescent="0.25">
      <c r="B45" s="39" t="s">
        <v>659</v>
      </c>
      <c r="C45" s="39">
        <v>2</v>
      </c>
      <c r="E45" s="62" t="s">
        <v>609</v>
      </c>
      <c r="F45" s="39" t="s">
        <v>139</v>
      </c>
      <c r="H45" s="39" t="s">
        <v>610</v>
      </c>
    </row>
    <row r="46" spans="2:8" x14ac:dyDescent="0.25">
      <c r="B46" s="39" t="s">
        <v>660</v>
      </c>
      <c r="C46" s="39">
        <v>2</v>
      </c>
      <c r="E46" s="62" t="s">
        <v>609</v>
      </c>
      <c r="F46" s="39" t="s">
        <v>139</v>
      </c>
      <c r="H46" s="39" t="s">
        <v>610</v>
      </c>
    </row>
    <row r="47" spans="2:8" x14ac:dyDescent="0.25">
      <c r="B47" s="39" t="s">
        <v>661</v>
      </c>
      <c r="C47" s="39">
        <v>2</v>
      </c>
      <c r="E47" s="62" t="s">
        <v>609</v>
      </c>
      <c r="F47" s="39" t="s">
        <v>139</v>
      </c>
      <c r="H47" s="39" t="s">
        <v>610</v>
      </c>
    </row>
    <row r="48" spans="2:8" x14ac:dyDescent="0.25">
      <c r="B48" s="39" t="s">
        <v>662</v>
      </c>
      <c r="C48" s="39">
        <v>2</v>
      </c>
      <c r="E48" s="62" t="s">
        <v>609</v>
      </c>
      <c r="F48" s="39" t="s">
        <v>139</v>
      </c>
      <c r="H48" s="39" t="s">
        <v>610</v>
      </c>
    </row>
    <row r="49" spans="5:5" x14ac:dyDescent="0.25">
      <c r="E49" s="62"/>
    </row>
    <row r="50" spans="5:5" x14ac:dyDescent="0.25">
      <c r="E50" s="62"/>
    </row>
    <row r="51" spans="5:5" x14ac:dyDescent="0.25">
      <c r="E51" s="62"/>
    </row>
    <row r="52" spans="5:5" x14ac:dyDescent="0.25">
      <c r="E52" s="62"/>
    </row>
    <row r="53" spans="5:5" x14ac:dyDescent="0.25">
      <c r="E53" s="62"/>
    </row>
    <row r="54" spans="5:5" x14ac:dyDescent="0.25">
      <c r="E54" s="62"/>
    </row>
    <row r="55" spans="5:5" x14ac:dyDescent="0.25">
      <c r="E55" s="62"/>
    </row>
    <row r="56" spans="5:5" x14ac:dyDescent="0.25">
      <c r="E56" s="62"/>
    </row>
    <row r="57" spans="5:5" x14ac:dyDescent="0.25">
      <c r="E57" s="62"/>
    </row>
    <row r="58" spans="5:5" x14ac:dyDescent="0.25">
      <c r="E58" s="62"/>
    </row>
    <row r="59" spans="5:5" x14ac:dyDescent="0.25">
      <c r="E59" s="62"/>
    </row>
    <row r="60" spans="5:5" x14ac:dyDescent="0.25">
      <c r="E60" s="62"/>
    </row>
    <row r="61" spans="5:5" x14ac:dyDescent="0.25">
      <c r="E61" s="62"/>
    </row>
    <row r="62" spans="5:5" x14ac:dyDescent="0.25">
      <c r="E62" s="62"/>
    </row>
    <row r="63" spans="5:5" x14ac:dyDescent="0.25">
      <c r="E63" s="62"/>
    </row>
    <row r="64" spans="5:5" x14ac:dyDescent="0.25">
      <c r="E64" s="62"/>
    </row>
    <row r="65" spans="5:5" x14ac:dyDescent="0.25">
      <c r="E65" s="62"/>
    </row>
    <row r="66" spans="5:5" x14ac:dyDescent="0.25">
      <c r="E66" s="62"/>
    </row>
    <row r="67" spans="5:5" x14ac:dyDescent="0.25">
      <c r="E67" s="62"/>
    </row>
    <row r="68" spans="5:5" x14ac:dyDescent="0.25">
      <c r="E68" s="62"/>
    </row>
    <row r="69" spans="5:5" x14ac:dyDescent="0.25">
      <c r="E69" s="62"/>
    </row>
    <row r="70" spans="5:5" x14ac:dyDescent="0.25">
      <c r="E70" s="62"/>
    </row>
    <row r="71" spans="5:5" x14ac:dyDescent="0.25">
      <c r="E71" s="62"/>
    </row>
    <row r="72" spans="5:5" x14ac:dyDescent="0.25">
      <c r="E72" s="62"/>
    </row>
    <row r="73" spans="5:5" x14ac:dyDescent="0.25">
      <c r="E73" s="62"/>
    </row>
    <row r="74" spans="5:5" x14ac:dyDescent="0.25">
      <c r="E74" s="62"/>
    </row>
    <row r="75" spans="5:5" x14ac:dyDescent="0.25">
      <c r="E75" s="62"/>
    </row>
    <row r="76" spans="5:5" x14ac:dyDescent="0.25">
      <c r="E76" s="62"/>
    </row>
    <row r="77" spans="5:5" x14ac:dyDescent="0.25">
      <c r="E77" s="62"/>
    </row>
    <row r="78" spans="5:5" x14ac:dyDescent="0.25">
      <c r="E78" s="62"/>
    </row>
    <row r="79" spans="5:5" x14ac:dyDescent="0.25">
      <c r="E79" s="62"/>
    </row>
    <row r="80" spans="5:5" x14ac:dyDescent="0.25">
      <c r="E80" s="62"/>
    </row>
    <row r="81" spans="5:5" x14ac:dyDescent="0.25">
      <c r="E81" s="62"/>
    </row>
    <row r="82" spans="5:5" x14ac:dyDescent="0.25">
      <c r="E82" s="62"/>
    </row>
    <row r="83" spans="5:5" x14ac:dyDescent="0.25">
      <c r="E83" s="62"/>
    </row>
    <row r="84" spans="5:5" x14ac:dyDescent="0.25">
      <c r="E84" s="62"/>
    </row>
    <row r="85" spans="5:5" x14ac:dyDescent="0.25">
      <c r="E85" s="62"/>
    </row>
    <row r="86" spans="5:5" x14ac:dyDescent="0.25">
      <c r="E86" s="62"/>
    </row>
    <row r="87" spans="5:5" x14ac:dyDescent="0.25">
      <c r="E87" s="62"/>
    </row>
    <row r="88" spans="5:5" x14ac:dyDescent="0.25">
      <c r="E88" s="62"/>
    </row>
    <row r="89" spans="5:5" x14ac:dyDescent="0.25">
      <c r="E89" s="62"/>
    </row>
    <row r="90" spans="5:5" x14ac:dyDescent="0.25">
      <c r="E90" s="62"/>
    </row>
    <row r="91" spans="5:5" x14ac:dyDescent="0.25">
      <c r="E91" s="62"/>
    </row>
    <row r="92" spans="5:5" x14ac:dyDescent="0.25">
      <c r="E92" s="62"/>
    </row>
    <row r="93" spans="5:5" x14ac:dyDescent="0.25">
      <c r="E93" s="62"/>
    </row>
    <row r="94" spans="5:5" x14ac:dyDescent="0.25">
      <c r="E94" s="62"/>
    </row>
    <row r="95" spans="5:5" x14ac:dyDescent="0.25">
      <c r="E95" s="62"/>
    </row>
    <row r="96" spans="5:5" x14ac:dyDescent="0.25">
      <c r="E96" s="62"/>
    </row>
    <row r="97" spans="5:5" x14ac:dyDescent="0.25">
      <c r="E97" s="62"/>
    </row>
    <row r="98" spans="5:5" x14ac:dyDescent="0.25">
      <c r="E98" s="62"/>
    </row>
    <row r="99" spans="5:5" x14ac:dyDescent="0.25">
      <c r="E99" s="62"/>
    </row>
    <row r="100" spans="5:5" x14ac:dyDescent="0.25">
      <c r="E100" s="62"/>
    </row>
    <row r="101" spans="5:5" x14ac:dyDescent="0.25">
      <c r="E101" s="62"/>
    </row>
    <row r="102" spans="5:5" x14ac:dyDescent="0.25">
      <c r="E102" s="62"/>
    </row>
    <row r="103" spans="5:5" x14ac:dyDescent="0.25">
      <c r="E103" s="62"/>
    </row>
    <row r="104" spans="5:5" x14ac:dyDescent="0.25">
      <c r="E104" s="62"/>
    </row>
    <row r="105" spans="5:5" x14ac:dyDescent="0.25">
      <c r="E105" s="62"/>
    </row>
    <row r="106" spans="5:5" x14ac:dyDescent="0.25">
      <c r="E106" s="62"/>
    </row>
    <row r="107" spans="5:5" x14ac:dyDescent="0.25">
      <c r="E107" s="62"/>
    </row>
    <row r="108" spans="5:5" x14ac:dyDescent="0.25">
      <c r="E108" s="62"/>
    </row>
    <row r="109" spans="5:5" x14ac:dyDescent="0.25">
      <c r="E109" s="62"/>
    </row>
    <row r="110" spans="5:5" x14ac:dyDescent="0.25">
      <c r="E110" s="62"/>
    </row>
    <row r="111" spans="5:5" x14ac:dyDescent="0.25">
      <c r="E111" s="62"/>
    </row>
    <row r="112" spans="5:5" x14ac:dyDescent="0.25">
      <c r="E112" s="62"/>
    </row>
  </sheetData>
  <hyperlinks>
    <hyperlink ref="E8" r:id="rId1" xr:uid="{C9E981CF-67BA-4140-B73F-2D47AED56183}"/>
    <hyperlink ref="E29" r:id="rId2" xr:uid="{1C7B6BE0-CFAC-4075-98F9-BCE3BA9B45BF}"/>
    <hyperlink ref="E9" r:id="rId3" xr:uid="{1B105D2A-BCD4-4CED-AE1E-CC5BF15668AE}"/>
    <hyperlink ref="E10" r:id="rId4" xr:uid="{4433D15E-4F2B-4C22-B66C-60BD29C7CAC3}"/>
    <hyperlink ref="E11" r:id="rId5" xr:uid="{B1BBC5A5-CA33-4BC9-B430-AC81FACB9CAC}"/>
    <hyperlink ref="E12" r:id="rId6" xr:uid="{88E24EBB-FBBC-4878-AC75-311E5E71CE97}"/>
    <hyperlink ref="E13" r:id="rId7" xr:uid="{278B9B8A-D80A-47A1-ADF6-6C21466483AF}"/>
    <hyperlink ref="E14" r:id="rId8" xr:uid="{99DD75C0-01F1-4A7D-8BEA-6DFBCE1B495A}"/>
    <hyperlink ref="E15" r:id="rId9" xr:uid="{F66B32EE-922E-48CD-87EB-36FE20B91849}"/>
    <hyperlink ref="E16" r:id="rId10" xr:uid="{26DC5AA1-1CEA-417B-8373-29F35D126163}"/>
    <hyperlink ref="E17" r:id="rId11" xr:uid="{E98288BC-2E75-41F8-A7E1-25133C6342DF}"/>
    <hyperlink ref="E18" r:id="rId12" xr:uid="{9EB50A3D-D7E3-42F7-B5A7-0F54BFF5F913}"/>
    <hyperlink ref="E19" r:id="rId13" xr:uid="{7E2E8DD7-83AE-49D3-B6DE-2A41696AB777}"/>
    <hyperlink ref="E20" r:id="rId14" xr:uid="{2149F1F9-BD7B-4D2A-B131-BA783E347D4E}"/>
    <hyperlink ref="E21" r:id="rId15" xr:uid="{50E2E049-DF5B-4E43-A721-BD02AD227935}"/>
    <hyperlink ref="E22" r:id="rId16" xr:uid="{81EC1E0B-E8C1-4B0D-A467-BE6767364F84}"/>
    <hyperlink ref="E23" r:id="rId17" xr:uid="{E417594C-57BF-435D-A1CF-A1F06EA91F68}"/>
    <hyperlink ref="E24" r:id="rId18" xr:uid="{3A7DB302-404C-4DB7-BA08-3A42EA8E39E9}"/>
    <hyperlink ref="E25" r:id="rId19" xr:uid="{BC5347DE-C3AB-49E5-8AF4-E2148CC6CF73}"/>
    <hyperlink ref="E26" r:id="rId20" xr:uid="{51831336-CFEB-40BE-B795-D8B46E65FB0C}"/>
    <hyperlink ref="E27" r:id="rId21" xr:uid="{B7B819BE-987D-46FF-88D3-90CCC81367C6}"/>
    <hyperlink ref="E30" r:id="rId22" xr:uid="{491E95AB-66F7-4956-90ED-6876C1A0125B}"/>
    <hyperlink ref="E31" r:id="rId23" xr:uid="{DB61DA36-8111-4AD0-A7EE-46B6F6BE305C}"/>
    <hyperlink ref="E32" r:id="rId24" xr:uid="{84026584-3CB6-46E0-9087-B2878277F748}"/>
    <hyperlink ref="E33" r:id="rId25" xr:uid="{60F3E2EC-0FBE-48F7-9C48-735CC07B5BE8}"/>
    <hyperlink ref="E34" r:id="rId26" xr:uid="{65F69928-F6AA-42CC-AB5C-0A145AC3F175}"/>
    <hyperlink ref="E35" r:id="rId27" xr:uid="{D4686A6E-C031-4D57-B65F-584A8A890A6B}"/>
    <hyperlink ref="E36" r:id="rId28" xr:uid="{818C86D1-BCA7-4649-B21F-71404DC30D9C}"/>
    <hyperlink ref="E37" r:id="rId29" xr:uid="{87599B4B-B89F-40A8-9F5F-EB6AAFE2E05A}"/>
    <hyperlink ref="E38" r:id="rId30" xr:uid="{54179210-E948-4C68-9D46-C2EE8941BF3D}"/>
    <hyperlink ref="E39" r:id="rId31" xr:uid="{9F944A91-7722-4E72-9B0E-B24DBA2529FC}"/>
    <hyperlink ref="E40" r:id="rId32" xr:uid="{A2259040-48A6-46B8-88D1-665328BCA3A9}"/>
    <hyperlink ref="E41" r:id="rId33" xr:uid="{39D14C0F-3DC0-4D95-BFDC-D0DEEBF19C18}"/>
    <hyperlink ref="E42" r:id="rId34" xr:uid="{31AC417B-AB90-4CC2-8A23-28BB736AF865}"/>
    <hyperlink ref="E43" r:id="rId35" xr:uid="{8620F310-D12C-4669-BDDF-35AF9CEE9D25}"/>
    <hyperlink ref="E44" r:id="rId36" xr:uid="{0AB5AF2B-D158-454E-AE82-97425A78E526}"/>
    <hyperlink ref="E45" r:id="rId37" xr:uid="{C2C26DCA-E328-4548-BE42-6AC9DFF7C388}"/>
    <hyperlink ref="E46" r:id="rId38" xr:uid="{5755B6BC-09B6-4DCD-8B2F-C1E5FE392706}"/>
    <hyperlink ref="E47" r:id="rId39" xr:uid="{9089C056-5795-49C1-8DB3-9B278027A5B1}"/>
    <hyperlink ref="E48" r:id="rId40" xr:uid="{E0B0331E-5100-4C89-BB8C-64ACB72A1A8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BEADE-6E74-4475-B0BC-FE9DF25711FF}">
  <dimension ref="A1:EW596"/>
  <sheetViews>
    <sheetView tabSelected="1" topLeftCell="A7" zoomScale="70" zoomScaleNormal="70" workbookViewId="0">
      <selection activeCell="O31" sqref="O31"/>
    </sheetView>
  </sheetViews>
  <sheetFormatPr defaultColWidth="11.42578125" defaultRowHeight="15" x14ac:dyDescent="0.25"/>
  <cols>
    <col min="1" max="1" width="12.5703125" style="39" bestFit="1" customWidth="1"/>
    <col min="2" max="2" width="18.42578125" style="39" customWidth="1"/>
    <col min="3" max="18" width="25.7109375" style="39" customWidth="1"/>
    <col min="19" max="19" width="4.7109375" style="39" customWidth="1"/>
    <col min="20" max="22" width="25.7109375" style="39" customWidth="1"/>
    <col min="23" max="23" width="4.7109375" style="39" customWidth="1"/>
    <col min="24" max="26" width="25.7109375" style="39" customWidth="1"/>
    <col min="27" max="27" width="34.42578125" style="39" bestFit="1" customWidth="1"/>
    <col min="28" max="30" width="25.7109375" style="39" customWidth="1"/>
    <col min="31" max="31" width="4.7109375" style="39" customWidth="1"/>
    <col min="32" max="36" width="25.7109375" style="39" customWidth="1"/>
    <col min="37" max="37" width="43.42578125" style="39" bestFit="1" customWidth="1"/>
    <col min="38" max="43" width="25.7109375" style="39" customWidth="1"/>
    <col min="44" max="44" width="4.7109375" style="39" customWidth="1"/>
    <col min="45" max="52" width="25.7109375" style="39" customWidth="1"/>
    <col min="53" max="53" width="4.7109375" style="39" customWidth="1"/>
    <col min="54" max="55" width="25.7109375" style="39" customWidth="1"/>
    <col min="56" max="56" width="4.7109375" style="39" customWidth="1"/>
    <col min="57" max="61" width="25.7109375" style="39" customWidth="1"/>
    <col min="62" max="62" width="4.7109375" style="39" customWidth="1"/>
    <col min="63" max="75" width="25.7109375" style="39" customWidth="1"/>
    <col min="76" max="76" width="5.140625" style="39" customWidth="1"/>
    <col min="77" max="80" width="25.7109375" style="39" customWidth="1"/>
    <col min="81" max="81" width="5" style="39" customWidth="1"/>
    <col min="82" max="83" width="25.7109375" style="39" customWidth="1"/>
    <col min="84" max="84" width="4.7109375" style="39" customWidth="1"/>
    <col min="85" max="86" width="25.7109375" style="39" customWidth="1"/>
    <col min="87" max="87" width="4.7109375" style="39" customWidth="1"/>
    <col min="88" max="94" width="25.7109375" style="39" customWidth="1"/>
    <col min="95" max="95" width="4.7109375" style="39" customWidth="1"/>
    <col min="96" max="108" width="25.7109375" style="39" customWidth="1"/>
    <col min="109" max="109" width="4.7109375" style="39" customWidth="1"/>
    <col min="110" max="115" width="25.7109375" style="39" customWidth="1"/>
    <col min="116" max="116" width="4.7109375" style="39" customWidth="1"/>
    <col min="117" max="119" width="25.7109375" style="39" customWidth="1"/>
    <col min="120" max="121" width="37.5703125" style="39" customWidth="1"/>
    <col min="122" max="122" width="4.7109375" style="39" customWidth="1"/>
    <col min="123" max="125" width="25.7109375" style="39" customWidth="1"/>
    <col min="126" max="126" width="4.7109375" style="39" customWidth="1"/>
    <col min="127" max="132" width="25.7109375" style="39" customWidth="1"/>
    <col min="133" max="133" width="4.7109375" style="39" customWidth="1"/>
    <col min="134" max="142" width="25.7109375" style="39" customWidth="1"/>
    <col min="143" max="143" width="4.7109375" style="39" customWidth="1"/>
    <col min="144" max="144" width="46.42578125" style="39" customWidth="1"/>
    <col min="145" max="152" width="25.7109375" style="39" customWidth="1"/>
    <col min="153" max="153" width="4.7109375" style="39" customWidth="1"/>
    <col min="154" max="16384" width="11.42578125" style="39"/>
  </cols>
  <sheetData>
    <row r="1" spans="1:153" ht="18.75" x14ac:dyDescent="0.25">
      <c r="A1" s="41" t="s">
        <v>110</v>
      </c>
      <c r="L1" s="39" t="s">
        <v>140</v>
      </c>
      <c r="Q1" s="41" t="s">
        <v>141</v>
      </c>
      <c r="T1" s="41" t="s">
        <v>142</v>
      </c>
      <c r="U1" s="41" t="s">
        <v>142</v>
      </c>
      <c r="V1" s="34" t="s">
        <v>142</v>
      </c>
      <c r="X1" s="41" t="s">
        <v>143</v>
      </c>
      <c r="Y1" s="41" t="s">
        <v>143</v>
      </c>
      <c r="Z1" s="41" t="s">
        <v>143</v>
      </c>
      <c r="AA1" s="41" t="s">
        <v>143</v>
      </c>
      <c r="AB1" s="41" t="s">
        <v>143</v>
      </c>
      <c r="AC1" s="41" t="s">
        <v>143</v>
      </c>
      <c r="AD1" s="41" t="s">
        <v>143</v>
      </c>
      <c r="AF1" s="41" t="s">
        <v>144</v>
      </c>
      <c r="AG1" s="41" t="s">
        <v>144</v>
      </c>
      <c r="AH1" s="41" t="s">
        <v>144</v>
      </c>
      <c r="AI1" s="41" t="s">
        <v>144</v>
      </c>
      <c r="AJ1" s="41" t="s">
        <v>144</v>
      </c>
      <c r="AK1" s="41" t="s">
        <v>144</v>
      </c>
      <c r="AL1" s="41" t="s">
        <v>144</v>
      </c>
      <c r="AM1" s="41" t="s">
        <v>144</v>
      </c>
      <c r="AN1" s="41" t="s">
        <v>144</v>
      </c>
      <c r="AO1" s="41" t="s">
        <v>144</v>
      </c>
      <c r="AP1" s="41" t="s">
        <v>144</v>
      </c>
      <c r="AQ1" s="41" t="s">
        <v>144</v>
      </c>
      <c r="AS1" s="47" t="s">
        <v>145</v>
      </c>
      <c r="AT1" s="47" t="s">
        <v>145</v>
      </c>
      <c r="AU1" s="47" t="s">
        <v>145</v>
      </c>
      <c r="AV1" s="47" t="s">
        <v>145</v>
      </c>
      <c r="AW1" s="47" t="s">
        <v>145</v>
      </c>
      <c r="AX1" s="47" t="s">
        <v>145</v>
      </c>
      <c r="AY1" s="47" t="s">
        <v>145</v>
      </c>
      <c r="AZ1" s="47" t="s">
        <v>145</v>
      </c>
      <c r="BC1" s="41" t="s">
        <v>140</v>
      </c>
      <c r="BE1" s="47" t="s">
        <v>146</v>
      </c>
      <c r="BF1" s="47" t="s">
        <v>146</v>
      </c>
      <c r="BG1" s="47" t="s">
        <v>146</v>
      </c>
      <c r="BH1" s="47" t="s">
        <v>146</v>
      </c>
      <c r="BI1" s="47" t="s">
        <v>146</v>
      </c>
      <c r="BK1" s="41" t="s">
        <v>140</v>
      </c>
      <c r="BL1" s="41" t="s">
        <v>140</v>
      </c>
      <c r="BM1" s="41" t="s">
        <v>140</v>
      </c>
      <c r="BN1" s="41" t="s">
        <v>140</v>
      </c>
      <c r="BO1" s="41" t="s">
        <v>140</v>
      </c>
      <c r="BP1" s="41" t="s">
        <v>140</v>
      </c>
      <c r="BQ1" s="41" t="s">
        <v>140</v>
      </c>
      <c r="BR1" s="41" t="s">
        <v>140</v>
      </c>
      <c r="BS1" s="41" t="s">
        <v>140</v>
      </c>
      <c r="BT1" s="41" t="s">
        <v>140</v>
      </c>
      <c r="BU1" s="41" t="s">
        <v>140</v>
      </c>
      <c r="BV1" s="41" t="s">
        <v>140</v>
      </c>
      <c r="BW1" s="41" t="s">
        <v>140</v>
      </c>
      <c r="BY1" s="41" t="s">
        <v>147</v>
      </c>
      <c r="BZ1" s="41" t="s">
        <v>147</v>
      </c>
      <c r="CA1" s="41" t="s">
        <v>147</v>
      </c>
      <c r="CB1" s="41" t="s">
        <v>147</v>
      </c>
      <c r="CD1" s="41" t="s">
        <v>140</v>
      </c>
      <c r="CE1" s="41" t="s">
        <v>140</v>
      </c>
      <c r="CG1" s="41" t="s">
        <v>140</v>
      </c>
      <c r="CH1" s="41" t="s">
        <v>140</v>
      </c>
      <c r="CJ1" s="41" t="s">
        <v>140</v>
      </c>
      <c r="CK1" s="41" t="s">
        <v>140</v>
      </c>
      <c r="CL1" s="41" t="s">
        <v>140</v>
      </c>
      <c r="CM1" s="41" t="s">
        <v>140</v>
      </c>
      <c r="CN1" s="41" t="s">
        <v>140</v>
      </c>
      <c r="CO1" s="41" t="s">
        <v>140</v>
      </c>
      <c r="CP1" s="41" t="s">
        <v>140</v>
      </c>
      <c r="CR1" s="34" t="s">
        <v>148</v>
      </c>
      <c r="CS1" s="34" t="s">
        <v>148</v>
      </c>
      <c r="CT1" s="34" t="s">
        <v>148</v>
      </c>
      <c r="CU1" s="34" t="s">
        <v>148</v>
      </c>
      <c r="CV1" s="34" t="s">
        <v>148</v>
      </c>
      <c r="CW1" s="34" t="s">
        <v>148</v>
      </c>
      <c r="CX1" s="34" t="s">
        <v>148</v>
      </c>
      <c r="CY1" s="34" t="s">
        <v>148</v>
      </c>
      <c r="CZ1" s="34" t="s">
        <v>148</v>
      </c>
      <c r="DA1" s="34" t="s">
        <v>148</v>
      </c>
      <c r="DB1" s="34" t="s">
        <v>148</v>
      </c>
      <c r="DC1" s="34" t="s">
        <v>148</v>
      </c>
      <c r="DD1" s="34" t="s">
        <v>148</v>
      </c>
      <c r="DF1" s="34" t="s">
        <v>149</v>
      </c>
      <c r="DG1" s="34" t="s">
        <v>149</v>
      </c>
      <c r="DH1" s="34" t="s">
        <v>149</v>
      </c>
      <c r="DI1" s="34" t="s">
        <v>149</v>
      </c>
      <c r="DJ1" s="34" t="s">
        <v>149</v>
      </c>
      <c r="DK1" s="34" t="s">
        <v>149</v>
      </c>
      <c r="DM1" s="47" t="s">
        <v>150</v>
      </c>
      <c r="DN1" s="47" t="s">
        <v>150</v>
      </c>
      <c r="DO1" s="47" t="s">
        <v>150</v>
      </c>
      <c r="DP1" s="47" t="s">
        <v>150</v>
      </c>
      <c r="DQ1" s="47" t="s">
        <v>150</v>
      </c>
      <c r="DW1" s="39" t="s">
        <v>151</v>
      </c>
      <c r="DX1" s="39" t="s">
        <v>151</v>
      </c>
      <c r="DY1" s="39" t="s">
        <v>151</v>
      </c>
      <c r="DZ1" s="39" t="s">
        <v>151</v>
      </c>
      <c r="EA1" s="39" t="s">
        <v>151</v>
      </c>
      <c r="EB1" s="39" t="s">
        <v>151</v>
      </c>
      <c r="ED1" s="47" t="s">
        <v>152</v>
      </c>
      <c r="EE1" s="47" t="s">
        <v>152</v>
      </c>
      <c r="EF1" s="47" t="s">
        <v>152</v>
      </c>
      <c r="EG1" s="47" t="s">
        <v>152</v>
      </c>
      <c r="EH1" s="47" t="s">
        <v>152</v>
      </c>
      <c r="EI1" s="47" t="s">
        <v>152</v>
      </c>
      <c r="EJ1" s="47" t="s">
        <v>152</v>
      </c>
      <c r="EK1" s="47" t="s">
        <v>152</v>
      </c>
      <c r="EL1" s="47" t="s">
        <v>152</v>
      </c>
      <c r="EN1" s="41" t="s">
        <v>153</v>
      </c>
      <c r="EO1" s="41"/>
      <c r="EP1" s="41" t="s">
        <v>153</v>
      </c>
      <c r="EQ1" s="41" t="s">
        <v>153</v>
      </c>
      <c r="ER1" s="41" t="s">
        <v>153</v>
      </c>
      <c r="ES1" s="41" t="s">
        <v>153</v>
      </c>
      <c r="ET1" s="41" t="s">
        <v>153</v>
      </c>
      <c r="EU1" s="41" t="s">
        <v>153</v>
      </c>
      <c r="EV1" s="41" t="s">
        <v>153</v>
      </c>
    </row>
    <row r="2" spans="1:153" s="64" customFormat="1" ht="75.75" thickBot="1" x14ac:dyDescent="0.3">
      <c r="A2" s="45" t="s">
        <v>154</v>
      </c>
      <c r="B2" s="34" t="s">
        <v>155</v>
      </c>
      <c r="C2" s="34"/>
      <c r="D2" s="34"/>
      <c r="E2" s="34"/>
      <c r="F2" s="34"/>
      <c r="G2" s="34" t="s">
        <v>156</v>
      </c>
      <c r="H2" s="34" t="s">
        <v>156</v>
      </c>
      <c r="I2" s="34" t="s">
        <v>156</v>
      </c>
      <c r="J2" s="34" t="s">
        <v>156</v>
      </c>
      <c r="K2" s="34" t="s">
        <v>156</v>
      </c>
      <c r="L2" s="34" t="s">
        <v>157</v>
      </c>
      <c r="M2" s="34" t="s">
        <v>158</v>
      </c>
      <c r="N2" s="34" t="s">
        <v>158</v>
      </c>
      <c r="O2" s="34" t="s">
        <v>159</v>
      </c>
      <c r="P2" s="34" t="s">
        <v>159</v>
      </c>
      <c r="Q2" s="34" t="s">
        <v>159</v>
      </c>
      <c r="R2" s="34"/>
      <c r="S2" s="14"/>
      <c r="T2" s="34" t="s">
        <v>160</v>
      </c>
      <c r="U2" s="34" t="s">
        <v>161</v>
      </c>
      <c r="V2" s="34" t="s">
        <v>160</v>
      </c>
      <c r="W2" s="14"/>
      <c r="X2" s="34" t="s">
        <v>162</v>
      </c>
      <c r="Y2" s="34" t="s">
        <v>162</v>
      </c>
      <c r="Z2" s="34" t="s">
        <v>162</v>
      </c>
      <c r="AA2" s="34" t="s">
        <v>162</v>
      </c>
      <c r="AB2" s="34" t="s">
        <v>162</v>
      </c>
      <c r="AC2" s="34" t="s">
        <v>162</v>
      </c>
      <c r="AD2" s="34" t="s">
        <v>162</v>
      </c>
      <c r="AE2" s="14"/>
      <c r="AF2" s="34" t="s">
        <v>163</v>
      </c>
      <c r="AG2" s="34" t="s">
        <v>163</v>
      </c>
      <c r="AH2" s="34" t="s">
        <v>163</v>
      </c>
      <c r="AI2" s="34" t="s">
        <v>163</v>
      </c>
      <c r="AJ2" s="34" t="s">
        <v>163</v>
      </c>
      <c r="AK2" s="34" t="s">
        <v>163</v>
      </c>
      <c r="AL2" s="34" t="s">
        <v>164</v>
      </c>
      <c r="AM2" s="34" t="s">
        <v>164</v>
      </c>
      <c r="AN2" s="34" t="s">
        <v>164</v>
      </c>
      <c r="AO2" s="34" t="s">
        <v>164</v>
      </c>
      <c r="AP2" s="34" t="s">
        <v>164</v>
      </c>
      <c r="AQ2" s="34" t="s">
        <v>164</v>
      </c>
      <c r="AR2" s="14"/>
      <c r="AS2" s="34" t="s">
        <v>165</v>
      </c>
      <c r="AT2" s="34" t="s">
        <v>165</v>
      </c>
      <c r="AU2" s="34" t="s">
        <v>165</v>
      </c>
      <c r="AV2" s="34" t="s">
        <v>165</v>
      </c>
      <c r="AW2" s="34" t="s">
        <v>165</v>
      </c>
      <c r="AX2" s="34" t="s">
        <v>165</v>
      </c>
      <c r="AY2" s="34" t="s">
        <v>165</v>
      </c>
      <c r="AZ2" s="34" t="s">
        <v>165</v>
      </c>
      <c r="BA2" s="14"/>
      <c r="BB2" s="34" t="s">
        <v>158</v>
      </c>
      <c r="BC2" s="34" t="s">
        <v>157</v>
      </c>
      <c r="BD2" s="14"/>
      <c r="BE2" s="34" t="s">
        <v>166</v>
      </c>
      <c r="BF2" s="34" t="s">
        <v>166</v>
      </c>
      <c r="BG2" s="34" t="s">
        <v>166</v>
      </c>
      <c r="BH2" s="34" t="s">
        <v>166</v>
      </c>
      <c r="BI2" s="34" t="s">
        <v>166</v>
      </c>
      <c r="BJ2" s="14"/>
      <c r="BK2" s="34" t="s">
        <v>157</v>
      </c>
      <c r="BL2" s="34" t="s">
        <v>157</v>
      </c>
      <c r="BM2" s="34" t="s">
        <v>157</v>
      </c>
      <c r="BN2" s="34" t="s">
        <v>157</v>
      </c>
      <c r="BO2" s="34" t="s">
        <v>157</v>
      </c>
      <c r="BP2" s="34" t="s">
        <v>157</v>
      </c>
      <c r="BQ2" s="34" t="s">
        <v>157</v>
      </c>
      <c r="BR2" s="34" t="s">
        <v>157</v>
      </c>
      <c r="BS2" s="34" t="s">
        <v>157</v>
      </c>
      <c r="BT2" s="34" t="s">
        <v>157</v>
      </c>
      <c r="BU2" s="34" t="s">
        <v>157</v>
      </c>
      <c r="BV2" s="34" t="s">
        <v>157</v>
      </c>
      <c r="BW2" s="34" t="s">
        <v>157</v>
      </c>
      <c r="BX2" s="14"/>
      <c r="BY2" s="34" t="s">
        <v>167</v>
      </c>
      <c r="BZ2" s="34" t="s">
        <v>167</v>
      </c>
      <c r="CA2" s="34" t="s">
        <v>167</v>
      </c>
      <c r="CB2" s="34" t="s">
        <v>167</v>
      </c>
      <c r="CC2" s="14"/>
      <c r="CD2" s="34" t="s">
        <v>157</v>
      </c>
      <c r="CE2" s="34" t="s">
        <v>157</v>
      </c>
      <c r="CF2" s="14"/>
      <c r="CG2" s="34" t="s">
        <v>157</v>
      </c>
      <c r="CH2" s="34" t="s">
        <v>157</v>
      </c>
      <c r="CI2" s="14"/>
      <c r="CJ2" s="34" t="s">
        <v>157</v>
      </c>
      <c r="CK2" s="34" t="s">
        <v>157</v>
      </c>
      <c r="CL2" s="34" t="s">
        <v>157</v>
      </c>
      <c r="CM2" s="34" t="s">
        <v>157</v>
      </c>
      <c r="CN2" s="34" t="s">
        <v>157</v>
      </c>
      <c r="CO2" s="34" t="s">
        <v>157</v>
      </c>
      <c r="CP2" s="34" t="s">
        <v>157</v>
      </c>
      <c r="CQ2" s="14"/>
      <c r="CR2" s="34" t="s">
        <v>168</v>
      </c>
      <c r="CS2" s="34" t="s">
        <v>168</v>
      </c>
      <c r="CT2" s="34" t="s">
        <v>168</v>
      </c>
      <c r="CU2" s="34" t="s">
        <v>168</v>
      </c>
      <c r="CV2" s="34" t="s">
        <v>168</v>
      </c>
      <c r="CW2" s="34" t="s">
        <v>168</v>
      </c>
      <c r="CX2" s="34" t="s">
        <v>168</v>
      </c>
      <c r="CY2" s="34" t="s">
        <v>168</v>
      </c>
      <c r="CZ2" s="34" t="s">
        <v>168</v>
      </c>
      <c r="DA2" s="34" t="s">
        <v>168</v>
      </c>
      <c r="DB2" s="34" t="s">
        <v>168</v>
      </c>
      <c r="DC2" s="34" t="s">
        <v>168</v>
      </c>
      <c r="DD2" s="34" t="s">
        <v>168</v>
      </c>
      <c r="DE2" s="14"/>
      <c r="DF2" s="34" t="s">
        <v>169</v>
      </c>
      <c r="DG2" s="34" t="s">
        <v>169</v>
      </c>
      <c r="DH2" s="34" t="s">
        <v>169</v>
      </c>
      <c r="DI2" s="34" t="s">
        <v>169</v>
      </c>
      <c r="DJ2" s="34" t="s">
        <v>169</v>
      </c>
      <c r="DK2" s="34" t="s">
        <v>169</v>
      </c>
      <c r="DL2" s="63"/>
      <c r="DM2" s="34" t="s">
        <v>170</v>
      </c>
      <c r="DN2" s="34" t="s">
        <v>170</v>
      </c>
      <c r="DO2" s="34" t="s">
        <v>170</v>
      </c>
      <c r="DP2" s="34" t="s">
        <v>170</v>
      </c>
      <c r="DQ2" s="34" t="s">
        <v>170</v>
      </c>
      <c r="DR2" s="63"/>
      <c r="DS2" s="34" t="s">
        <v>171</v>
      </c>
      <c r="DT2" s="34" t="s">
        <v>171</v>
      </c>
      <c r="DU2" s="34" t="s">
        <v>171</v>
      </c>
      <c r="DV2" s="63"/>
      <c r="DW2" s="34" t="s">
        <v>172</v>
      </c>
      <c r="DX2" s="34" t="s">
        <v>172</v>
      </c>
      <c r="DY2" s="34" t="s">
        <v>172</v>
      </c>
      <c r="DZ2" s="34" t="s">
        <v>172</v>
      </c>
      <c r="EA2" s="34" t="s">
        <v>172</v>
      </c>
      <c r="EB2" s="34" t="s">
        <v>172</v>
      </c>
      <c r="EC2" s="63"/>
      <c r="ED2" s="34" t="s">
        <v>173</v>
      </c>
      <c r="EE2" s="34" t="s">
        <v>173</v>
      </c>
      <c r="EF2" s="34" t="s">
        <v>173</v>
      </c>
      <c r="EG2" s="34" t="s">
        <v>173</v>
      </c>
      <c r="EH2" s="34" t="s">
        <v>173</v>
      </c>
      <c r="EI2" s="34" t="s">
        <v>173</v>
      </c>
      <c r="EJ2" s="34" t="s">
        <v>173</v>
      </c>
      <c r="EK2" s="34" t="s">
        <v>173</v>
      </c>
      <c r="EL2" s="34" t="s">
        <v>173</v>
      </c>
      <c r="EM2" s="63"/>
      <c r="EN2" s="34" t="s">
        <v>174</v>
      </c>
      <c r="EO2" s="34" t="s">
        <v>174</v>
      </c>
      <c r="EP2" s="34" t="s">
        <v>174</v>
      </c>
      <c r="EQ2" s="34" t="s">
        <v>174</v>
      </c>
      <c r="ER2" s="34" t="s">
        <v>174</v>
      </c>
      <c r="ES2" s="34" t="s">
        <v>174</v>
      </c>
      <c r="ET2" s="34" t="s">
        <v>174</v>
      </c>
      <c r="EU2" s="34" t="s">
        <v>174</v>
      </c>
      <c r="EV2" s="34" t="s">
        <v>174</v>
      </c>
      <c r="EW2" s="63"/>
    </row>
    <row r="3" spans="1:153" customFormat="1" ht="142.5" thickBot="1" x14ac:dyDescent="0.3">
      <c r="A3" s="47" t="s">
        <v>112</v>
      </c>
      <c r="B3" s="65" t="s">
        <v>175</v>
      </c>
      <c r="C3" s="6" t="s">
        <v>3</v>
      </c>
      <c r="D3" s="10" t="s">
        <v>176</v>
      </c>
      <c r="E3" s="7" t="s">
        <v>4</v>
      </c>
      <c r="F3" s="7" t="s">
        <v>4</v>
      </c>
      <c r="G3" s="10" t="s">
        <v>177</v>
      </c>
      <c r="H3" s="7" t="s">
        <v>4</v>
      </c>
      <c r="I3" s="7" t="s">
        <v>4</v>
      </c>
      <c r="J3" s="7" t="s">
        <v>4</v>
      </c>
      <c r="K3" s="7" t="s">
        <v>4</v>
      </c>
      <c r="L3" s="66" t="s">
        <v>178</v>
      </c>
      <c r="M3" s="6" t="s">
        <v>179</v>
      </c>
      <c r="N3" s="66" t="s">
        <v>178</v>
      </c>
      <c r="O3" s="7" t="s">
        <v>4</v>
      </c>
      <c r="P3" s="7" t="s">
        <v>4</v>
      </c>
      <c r="Q3" s="7" t="s">
        <v>4</v>
      </c>
      <c r="R3" s="7" t="s">
        <v>4</v>
      </c>
      <c r="S3" s="14"/>
      <c r="T3" s="6" t="s">
        <v>179</v>
      </c>
      <c r="U3" s="6" t="s">
        <v>179</v>
      </c>
      <c r="V3" s="6" t="s">
        <v>179</v>
      </c>
      <c r="W3" s="14"/>
      <c r="X3" s="7" t="s">
        <v>4</v>
      </c>
      <c r="Y3" s="7" t="s">
        <v>4</v>
      </c>
      <c r="Z3" s="7" t="s">
        <v>4</v>
      </c>
      <c r="AA3" s="7" t="s">
        <v>4</v>
      </c>
      <c r="AB3" s="7" t="s">
        <v>4</v>
      </c>
      <c r="AC3" s="7" t="s">
        <v>4</v>
      </c>
      <c r="AD3" s="7" t="s">
        <v>4</v>
      </c>
      <c r="AE3" s="14"/>
      <c r="AF3" s="6" t="s">
        <v>179</v>
      </c>
      <c r="AG3" s="7" t="s">
        <v>4</v>
      </c>
      <c r="AH3" s="7" t="s">
        <v>4</v>
      </c>
      <c r="AI3" s="7" t="s">
        <v>4</v>
      </c>
      <c r="AJ3" s="7" t="s">
        <v>4</v>
      </c>
      <c r="AK3" s="7" t="s">
        <v>4</v>
      </c>
      <c r="AL3" s="7" t="s">
        <v>4</v>
      </c>
      <c r="AM3" s="7" t="s">
        <v>4</v>
      </c>
      <c r="AN3" s="7" t="s">
        <v>4</v>
      </c>
      <c r="AO3" s="7" t="s">
        <v>4</v>
      </c>
      <c r="AP3" s="7" t="s">
        <v>4</v>
      </c>
      <c r="AQ3" s="7" t="s">
        <v>4</v>
      </c>
      <c r="AR3" s="14"/>
      <c r="AS3" s="7" t="s">
        <v>4</v>
      </c>
      <c r="AT3" s="7" t="s">
        <v>4</v>
      </c>
      <c r="AU3" s="7" t="s">
        <v>4</v>
      </c>
      <c r="AV3" s="7" t="s">
        <v>4</v>
      </c>
      <c r="AW3" s="7" t="s">
        <v>4</v>
      </c>
      <c r="AX3" s="7" t="s">
        <v>4</v>
      </c>
      <c r="AY3" s="7" t="s">
        <v>4</v>
      </c>
      <c r="AZ3" s="7" t="s">
        <v>4</v>
      </c>
      <c r="BA3" s="14"/>
      <c r="BB3" s="7" t="s">
        <v>4</v>
      </c>
      <c r="BC3" s="7" t="s">
        <v>4</v>
      </c>
      <c r="BD3" s="14"/>
      <c r="BE3" s="6" t="s">
        <v>179</v>
      </c>
      <c r="BF3" s="6" t="s">
        <v>179</v>
      </c>
      <c r="BG3" s="6" t="s">
        <v>179</v>
      </c>
      <c r="BH3" s="7" t="s">
        <v>4</v>
      </c>
      <c r="BI3" s="6" t="s">
        <v>3</v>
      </c>
      <c r="BJ3" s="14"/>
      <c r="BK3" s="6" t="s">
        <v>179</v>
      </c>
      <c r="BL3" s="6" t="s">
        <v>179</v>
      </c>
      <c r="BM3" s="6" t="s">
        <v>179</v>
      </c>
      <c r="BN3" s="7" t="s">
        <v>4</v>
      </c>
      <c r="BO3" s="7" t="s">
        <v>4</v>
      </c>
      <c r="BP3" s="7" t="s">
        <v>4</v>
      </c>
      <c r="BQ3" s="7" t="s">
        <v>4</v>
      </c>
      <c r="BR3" s="7" t="s">
        <v>4</v>
      </c>
      <c r="BS3" s="7" t="s">
        <v>4</v>
      </c>
      <c r="BT3" s="7" t="s">
        <v>4</v>
      </c>
      <c r="BU3" s="7" t="s">
        <v>4</v>
      </c>
      <c r="BV3" s="6" t="s">
        <v>179</v>
      </c>
      <c r="BW3" s="7" t="s">
        <v>4</v>
      </c>
      <c r="BX3" s="14"/>
      <c r="BY3" s="6" t="s">
        <v>179</v>
      </c>
      <c r="BZ3" s="7" t="s">
        <v>4</v>
      </c>
      <c r="CA3" s="7" t="s">
        <v>4</v>
      </c>
      <c r="CB3" s="7" t="s">
        <v>7</v>
      </c>
      <c r="CC3" s="14"/>
      <c r="CD3" s="7" t="s">
        <v>7</v>
      </c>
      <c r="CE3" s="7" t="s">
        <v>7</v>
      </c>
      <c r="CF3" s="14"/>
      <c r="CG3" s="7" t="s">
        <v>4</v>
      </c>
      <c r="CH3" s="7" t="s">
        <v>4</v>
      </c>
      <c r="CI3" s="14"/>
      <c r="CJ3" s="7" t="s">
        <v>7</v>
      </c>
      <c r="CK3" s="7" t="s">
        <v>7</v>
      </c>
      <c r="CL3" s="7" t="s">
        <v>7</v>
      </c>
      <c r="CM3" s="7" t="s">
        <v>7</v>
      </c>
      <c r="CN3" s="7" t="s">
        <v>7</v>
      </c>
      <c r="CO3" s="7" t="s">
        <v>7</v>
      </c>
      <c r="CP3" s="7" t="s">
        <v>7</v>
      </c>
      <c r="CQ3" s="14"/>
      <c r="CR3" s="6" t="s">
        <v>179</v>
      </c>
      <c r="CS3" s="10" t="s">
        <v>177</v>
      </c>
      <c r="CT3" s="7" t="s">
        <v>4</v>
      </c>
      <c r="CU3" s="7" t="s">
        <v>4</v>
      </c>
      <c r="CV3" s="7" t="s">
        <v>4</v>
      </c>
      <c r="CW3" s="7" t="s">
        <v>4</v>
      </c>
      <c r="CX3" s="7" t="s">
        <v>4</v>
      </c>
      <c r="CY3" s="7" t="s">
        <v>4</v>
      </c>
      <c r="CZ3" s="97" t="s">
        <v>180</v>
      </c>
      <c r="DA3" s="98"/>
      <c r="DB3" s="7" t="s">
        <v>4</v>
      </c>
      <c r="DC3" s="7" t="s">
        <v>4</v>
      </c>
      <c r="DD3" s="7" t="s">
        <v>4</v>
      </c>
      <c r="DE3" s="14"/>
      <c r="DF3" s="10" t="s">
        <v>177</v>
      </c>
      <c r="DG3" s="7" t="s">
        <v>4</v>
      </c>
      <c r="DH3" s="7" t="s">
        <v>4</v>
      </c>
      <c r="DI3" s="7" t="s">
        <v>4</v>
      </c>
      <c r="DJ3" s="7" t="s">
        <v>4</v>
      </c>
      <c r="DK3" s="7" t="s">
        <v>4</v>
      </c>
      <c r="DL3" s="14"/>
      <c r="DM3" s="10" t="s">
        <v>177</v>
      </c>
      <c r="DN3" s="7" t="s">
        <v>4</v>
      </c>
      <c r="DO3" s="7" t="s">
        <v>4</v>
      </c>
      <c r="DP3" s="7" t="s">
        <v>4</v>
      </c>
      <c r="DQ3" s="10" t="s">
        <v>177</v>
      </c>
      <c r="DR3" s="14"/>
      <c r="DS3" s="7" t="s">
        <v>4</v>
      </c>
      <c r="DT3" s="7" t="s">
        <v>4</v>
      </c>
      <c r="DU3" s="7" t="s">
        <v>4</v>
      </c>
      <c r="DV3" s="14"/>
      <c r="DW3" s="7" t="s">
        <v>4</v>
      </c>
      <c r="DX3" s="7" t="s">
        <v>4</v>
      </c>
      <c r="DY3" s="7" t="s">
        <v>4</v>
      </c>
      <c r="DZ3" s="7" t="s">
        <v>4</v>
      </c>
      <c r="EA3" s="7" t="s">
        <v>4</v>
      </c>
      <c r="EB3" s="7" t="s">
        <v>4</v>
      </c>
      <c r="EC3" s="14"/>
      <c r="ED3" s="7" t="s">
        <v>4</v>
      </c>
      <c r="EE3" s="7" t="s">
        <v>4</v>
      </c>
      <c r="EF3" s="7" t="s">
        <v>4</v>
      </c>
      <c r="EG3" s="7" t="s">
        <v>4</v>
      </c>
      <c r="EH3" s="7" t="s">
        <v>4</v>
      </c>
      <c r="EI3" s="7" t="s">
        <v>4</v>
      </c>
      <c r="EJ3" s="7" t="s">
        <v>4</v>
      </c>
      <c r="EK3" s="7" t="s">
        <v>4</v>
      </c>
      <c r="EL3" s="7" t="s">
        <v>4</v>
      </c>
      <c r="EM3" s="14"/>
      <c r="EN3" s="10" t="s">
        <v>177</v>
      </c>
      <c r="EO3" s="7" t="s">
        <v>4</v>
      </c>
      <c r="EP3" s="7" t="s">
        <v>4</v>
      </c>
      <c r="EQ3" s="7" t="s">
        <v>4</v>
      </c>
      <c r="ER3" s="7" t="s">
        <v>4</v>
      </c>
      <c r="ES3" s="7" t="s">
        <v>4</v>
      </c>
      <c r="ET3" s="7" t="s">
        <v>4</v>
      </c>
      <c r="EU3" s="7" t="s">
        <v>4</v>
      </c>
      <c r="EV3" s="7" t="s">
        <v>4</v>
      </c>
      <c r="EW3" s="14"/>
    </row>
    <row r="4" spans="1:153" s="13" customFormat="1" ht="18.75" x14ac:dyDescent="0.25">
      <c r="A4" s="13" t="s">
        <v>181</v>
      </c>
      <c r="C4" s="13" t="s">
        <v>8</v>
      </c>
      <c r="D4" s="13" t="s">
        <v>12</v>
      </c>
      <c r="E4" s="13" t="s">
        <v>182</v>
      </c>
      <c r="F4" s="13" t="s">
        <v>182</v>
      </c>
      <c r="G4" s="13" t="s">
        <v>12</v>
      </c>
      <c r="H4" s="13" t="s">
        <v>12</v>
      </c>
      <c r="I4" s="13" t="s">
        <v>12</v>
      </c>
      <c r="J4" s="13" t="s">
        <v>12</v>
      </c>
      <c r="K4" s="13" t="s">
        <v>12</v>
      </c>
      <c r="L4" s="13" t="s">
        <v>12</v>
      </c>
      <c r="M4" s="13" t="s">
        <v>12</v>
      </c>
      <c r="N4" s="13" t="s">
        <v>12</v>
      </c>
      <c r="O4" s="13" t="s">
        <v>12</v>
      </c>
      <c r="P4" s="13" t="s">
        <v>12</v>
      </c>
      <c r="Q4" s="13" t="s">
        <v>12</v>
      </c>
      <c r="R4" s="13" t="s">
        <v>12</v>
      </c>
      <c r="S4" s="25"/>
      <c r="T4" s="13" t="s">
        <v>12</v>
      </c>
      <c r="U4" s="13" t="s">
        <v>12</v>
      </c>
      <c r="V4" s="13" t="s">
        <v>12</v>
      </c>
      <c r="W4" s="25"/>
      <c r="X4" s="13" t="s">
        <v>12</v>
      </c>
      <c r="Y4" s="13" t="s">
        <v>12</v>
      </c>
      <c r="Z4" s="13" t="s">
        <v>12</v>
      </c>
      <c r="AA4" s="13" t="s">
        <v>12</v>
      </c>
      <c r="AB4" s="13" t="s">
        <v>12</v>
      </c>
      <c r="AC4" s="13" t="s">
        <v>12</v>
      </c>
      <c r="AD4" s="13" t="s">
        <v>12</v>
      </c>
      <c r="AE4" s="25"/>
      <c r="AF4" s="13" t="s">
        <v>12</v>
      </c>
      <c r="AG4" s="13" t="s">
        <v>12</v>
      </c>
      <c r="AH4" s="13" t="s">
        <v>12</v>
      </c>
      <c r="AI4" s="13" t="s">
        <v>12</v>
      </c>
      <c r="AJ4" s="13" t="s">
        <v>12</v>
      </c>
      <c r="AK4" s="13" t="s">
        <v>12</v>
      </c>
      <c r="AL4" s="13" t="s">
        <v>12</v>
      </c>
      <c r="AM4" s="13" t="s">
        <v>12</v>
      </c>
      <c r="AN4" s="13" t="s">
        <v>12</v>
      </c>
      <c r="AO4" s="13" t="s">
        <v>12</v>
      </c>
      <c r="AP4" s="13" t="s">
        <v>12</v>
      </c>
      <c r="AQ4" s="13" t="s">
        <v>12</v>
      </c>
      <c r="AR4" s="25"/>
      <c r="AS4" s="13" t="s">
        <v>12</v>
      </c>
      <c r="AT4" s="13" t="s">
        <v>12</v>
      </c>
      <c r="AU4" s="13" t="s">
        <v>12</v>
      </c>
      <c r="AV4" s="13" t="s">
        <v>12</v>
      </c>
      <c r="AW4" s="13" t="s">
        <v>12</v>
      </c>
      <c r="AX4" s="13" t="s">
        <v>12</v>
      </c>
      <c r="AY4" s="13" t="s">
        <v>12</v>
      </c>
      <c r="AZ4" s="13" t="s">
        <v>12</v>
      </c>
      <c r="BA4" s="25"/>
      <c r="BB4" s="13" t="s">
        <v>12</v>
      </c>
      <c r="BC4" s="13" t="s">
        <v>12</v>
      </c>
      <c r="BD4" s="25"/>
      <c r="BE4" s="13" t="s">
        <v>12</v>
      </c>
      <c r="BF4" s="13" t="s">
        <v>12</v>
      </c>
      <c r="BG4" s="13" t="s">
        <v>12</v>
      </c>
      <c r="BH4" s="13" t="s">
        <v>12</v>
      </c>
      <c r="BI4" s="13" t="s">
        <v>12</v>
      </c>
      <c r="BJ4" s="25"/>
      <c r="BK4" s="13" t="s">
        <v>12</v>
      </c>
      <c r="BL4" s="13" t="s">
        <v>12</v>
      </c>
      <c r="BM4" s="13" t="s">
        <v>12</v>
      </c>
      <c r="BN4" s="13" t="s">
        <v>12</v>
      </c>
      <c r="BO4" s="13" t="s">
        <v>12</v>
      </c>
      <c r="BP4" s="13" t="s">
        <v>12</v>
      </c>
      <c r="BQ4" s="13" t="s">
        <v>12</v>
      </c>
      <c r="BR4" s="13" t="s">
        <v>12</v>
      </c>
      <c r="BS4" s="13" t="s">
        <v>12</v>
      </c>
      <c r="BT4" s="13" t="s">
        <v>12</v>
      </c>
      <c r="BU4" s="13" t="s">
        <v>12</v>
      </c>
      <c r="BV4" s="13" t="s">
        <v>12</v>
      </c>
      <c r="BW4" s="13" t="s">
        <v>12</v>
      </c>
      <c r="BX4" s="25"/>
      <c r="BY4" s="13" t="s">
        <v>12</v>
      </c>
      <c r="BZ4" s="13" t="s">
        <v>12</v>
      </c>
      <c r="CA4" s="13" t="s">
        <v>12</v>
      </c>
      <c r="CB4" s="13" t="s">
        <v>12</v>
      </c>
      <c r="CC4" s="25"/>
      <c r="CD4" s="13" t="s">
        <v>12</v>
      </c>
      <c r="CE4" s="13" t="s">
        <v>12</v>
      </c>
      <c r="CF4" s="25"/>
      <c r="CG4" s="13" t="s">
        <v>12</v>
      </c>
      <c r="CH4" s="13" t="s">
        <v>12</v>
      </c>
      <c r="CI4" s="25"/>
      <c r="CJ4" s="67" t="s">
        <v>12</v>
      </c>
      <c r="CK4" s="67" t="s">
        <v>12</v>
      </c>
      <c r="CL4" s="67" t="s">
        <v>12</v>
      </c>
      <c r="CM4" s="67" t="s">
        <v>12</v>
      </c>
      <c r="CN4" s="67" t="s">
        <v>12</v>
      </c>
      <c r="CO4" s="67" t="s">
        <v>12</v>
      </c>
      <c r="CP4" s="67" t="s">
        <v>12</v>
      </c>
      <c r="CQ4" s="25"/>
      <c r="CR4" s="13" t="s">
        <v>12</v>
      </c>
      <c r="CS4" s="13" t="s">
        <v>12</v>
      </c>
      <c r="CT4" s="13" t="s">
        <v>12</v>
      </c>
      <c r="CU4" s="13" t="s">
        <v>12</v>
      </c>
      <c r="CV4" s="13" t="s">
        <v>12</v>
      </c>
      <c r="CW4" s="13" t="s">
        <v>12</v>
      </c>
      <c r="CX4" s="13" t="s">
        <v>12</v>
      </c>
      <c r="CY4" s="13" t="s">
        <v>12</v>
      </c>
      <c r="CZ4" s="13" t="s">
        <v>12</v>
      </c>
      <c r="DA4" s="13" t="s">
        <v>12</v>
      </c>
      <c r="DB4" s="13" t="s">
        <v>12</v>
      </c>
      <c r="DC4" s="13" t="s">
        <v>12</v>
      </c>
      <c r="DD4" s="13" t="s">
        <v>12</v>
      </c>
      <c r="DE4" s="25"/>
      <c r="DF4" s="13" t="s">
        <v>12</v>
      </c>
      <c r="DG4" s="13" t="s">
        <v>12</v>
      </c>
      <c r="DH4" s="13" t="s">
        <v>12</v>
      </c>
      <c r="DI4" s="13" t="s">
        <v>12</v>
      </c>
      <c r="DJ4" s="13" t="s">
        <v>12</v>
      </c>
      <c r="DK4" s="13" t="s">
        <v>12</v>
      </c>
      <c r="DL4" s="68"/>
      <c r="DM4" s="13" t="s">
        <v>12</v>
      </c>
      <c r="DN4" s="13" t="s">
        <v>12</v>
      </c>
      <c r="DO4" s="13" t="s">
        <v>12</v>
      </c>
      <c r="DP4" s="13" t="s">
        <v>12</v>
      </c>
      <c r="DQ4" s="13" t="s">
        <v>12</v>
      </c>
      <c r="DR4" s="68"/>
      <c r="DS4" s="13" t="s">
        <v>12</v>
      </c>
      <c r="DT4" s="13" t="s">
        <v>12</v>
      </c>
      <c r="DU4" s="13" t="s">
        <v>12</v>
      </c>
      <c r="DV4" s="68"/>
      <c r="DW4" s="13" t="s">
        <v>12</v>
      </c>
      <c r="DX4" s="13" t="s">
        <v>12</v>
      </c>
      <c r="DY4" s="13" t="s">
        <v>12</v>
      </c>
      <c r="DZ4" s="13" t="s">
        <v>12</v>
      </c>
      <c r="EA4" s="13" t="s">
        <v>12</v>
      </c>
      <c r="EB4" s="13" t="s">
        <v>12</v>
      </c>
      <c r="EC4" s="68"/>
      <c r="ED4" s="13" t="s">
        <v>12</v>
      </c>
      <c r="EE4" s="13" t="s">
        <v>12</v>
      </c>
      <c r="EF4" s="13" t="s">
        <v>12</v>
      </c>
      <c r="EG4" s="13" t="s">
        <v>12</v>
      </c>
      <c r="EH4" s="13" t="s">
        <v>12</v>
      </c>
      <c r="EI4" s="13" t="s">
        <v>12</v>
      </c>
      <c r="EJ4" s="13" t="s">
        <v>12</v>
      </c>
      <c r="EK4" s="13" t="s">
        <v>12</v>
      </c>
      <c r="EL4" s="13" t="s">
        <v>12</v>
      </c>
      <c r="EM4" s="68"/>
      <c r="EN4" s="13" t="s">
        <v>12</v>
      </c>
      <c r="EO4" s="13" t="s">
        <v>12</v>
      </c>
      <c r="EP4" s="13" t="s">
        <v>12</v>
      </c>
      <c r="EQ4" s="13" t="s">
        <v>12</v>
      </c>
      <c r="ER4" s="13" t="s">
        <v>12</v>
      </c>
      <c r="ES4" s="13" t="s">
        <v>12</v>
      </c>
      <c r="ET4" s="13" t="s">
        <v>12</v>
      </c>
      <c r="EU4" s="13" t="s">
        <v>12</v>
      </c>
      <c r="EV4" s="13" t="s">
        <v>12</v>
      </c>
      <c r="EW4" s="68"/>
    </row>
    <row r="5" spans="1:153" customFormat="1" ht="56.25" x14ac:dyDescent="0.25">
      <c r="A5" s="47" t="s">
        <v>117</v>
      </c>
      <c r="B5" s="18" t="s">
        <v>13</v>
      </c>
      <c r="C5" s="20" t="s">
        <v>17</v>
      </c>
      <c r="D5" s="20" t="s">
        <v>183</v>
      </c>
      <c r="E5" s="69" t="s">
        <v>184</v>
      </c>
      <c r="F5" s="69" t="s">
        <v>185</v>
      </c>
      <c r="G5" s="20" t="s">
        <v>186</v>
      </c>
      <c r="H5" s="20" t="s">
        <v>187</v>
      </c>
      <c r="I5" s="20" t="s">
        <v>187</v>
      </c>
      <c r="J5" s="20" t="s">
        <v>188</v>
      </c>
      <c r="K5" s="20" t="s">
        <v>189</v>
      </c>
      <c r="L5" s="20" t="s">
        <v>190</v>
      </c>
      <c r="M5" s="20" t="s">
        <v>191</v>
      </c>
      <c r="N5" s="20" t="s">
        <v>192</v>
      </c>
      <c r="O5" s="23" t="s">
        <v>193</v>
      </c>
      <c r="P5" s="23" t="s">
        <v>194</v>
      </c>
      <c r="Q5" s="23" t="s">
        <v>195</v>
      </c>
      <c r="R5" s="23" t="s">
        <v>196</v>
      </c>
      <c r="S5" s="25"/>
      <c r="T5" s="23" t="s">
        <v>197</v>
      </c>
      <c r="U5" s="23" t="s">
        <v>198</v>
      </c>
      <c r="V5" s="23" t="s">
        <v>199</v>
      </c>
      <c r="W5" s="25"/>
      <c r="X5" s="23" t="s">
        <v>200</v>
      </c>
      <c r="Y5" s="23" t="s">
        <v>201</v>
      </c>
      <c r="Z5" s="23" t="s">
        <v>202</v>
      </c>
      <c r="AA5" s="23" t="s">
        <v>203</v>
      </c>
      <c r="AB5" s="23" t="s">
        <v>204</v>
      </c>
      <c r="AC5" s="23" t="s">
        <v>205</v>
      </c>
      <c r="AD5" s="23" t="s">
        <v>206</v>
      </c>
      <c r="AE5" s="25"/>
      <c r="AF5" s="23" t="s">
        <v>207</v>
      </c>
      <c r="AG5" s="23" t="s">
        <v>208</v>
      </c>
      <c r="AH5" s="23" t="s">
        <v>209</v>
      </c>
      <c r="AI5" s="23" t="s">
        <v>210</v>
      </c>
      <c r="AJ5" s="23" t="s">
        <v>210</v>
      </c>
      <c r="AK5" s="23" t="s">
        <v>211</v>
      </c>
      <c r="AL5" s="23" t="s">
        <v>212</v>
      </c>
      <c r="AM5" s="70" t="s">
        <v>213</v>
      </c>
      <c r="AN5" s="23" t="s">
        <v>214</v>
      </c>
      <c r="AO5" s="23" t="s">
        <v>215</v>
      </c>
      <c r="AP5" s="23" t="s">
        <v>216</v>
      </c>
      <c r="AQ5" s="19" t="s">
        <v>217</v>
      </c>
      <c r="AR5" s="25"/>
      <c r="AS5" s="23" t="s">
        <v>218</v>
      </c>
      <c r="AT5" s="23" t="s">
        <v>218</v>
      </c>
      <c r="AU5" s="23" t="s">
        <v>219</v>
      </c>
      <c r="AV5" s="23" t="s">
        <v>220</v>
      </c>
      <c r="AW5" s="23" t="s">
        <v>221</v>
      </c>
      <c r="AX5" s="23" t="s">
        <v>222</v>
      </c>
      <c r="AY5" s="23" t="s">
        <v>223</v>
      </c>
      <c r="AZ5" s="23" t="s">
        <v>223</v>
      </c>
      <c r="BA5" s="25"/>
      <c r="BB5" s="20" t="s">
        <v>224</v>
      </c>
      <c r="BC5" s="20" t="s">
        <v>225</v>
      </c>
      <c r="BD5" s="25"/>
      <c r="BE5" s="20" t="s">
        <v>226</v>
      </c>
      <c r="BF5" s="20" t="s">
        <v>227</v>
      </c>
      <c r="BG5" s="20" t="s">
        <v>228</v>
      </c>
      <c r="BH5" s="20" t="s">
        <v>229</v>
      </c>
      <c r="BI5" s="19" t="s">
        <v>230</v>
      </c>
      <c r="BJ5" s="25"/>
      <c r="BK5" s="19" t="s">
        <v>231</v>
      </c>
      <c r="BL5" s="19" t="s">
        <v>232</v>
      </c>
      <c r="BM5" s="20" t="s">
        <v>233</v>
      </c>
      <c r="BN5" s="20" t="s">
        <v>234</v>
      </c>
      <c r="BO5" s="20" t="s">
        <v>235</v>
      </c>
      <c r="BP5" s="20" t="s">
        <v>236</v>
      </c>
      <c r="BQ5" s="20" t="s">
        <v>237</v>
      </c>
      <c r="BR5" s="20" t="s">
        <v>238</v>
      </c>
      <c r="BS5" s="20" t="s">
        <v>239</v>
      </c>
      <c r="BT5" s="20" t="s">
        <v>240</v>
      </c>
      <c r="BU5" s="23" t="s">
        <v>241</v>
      </c>
      <c r="BV5" s="23" t="s">
        <v>242</v>
      </c>
      <c r="BW5" s="23" t="s">
        <v>243</v>
      </c>
      <c r="BX5" s="25"/>
      <c r="BY5" s="20" t="s">
        <v>226</v>
      </c>
      <c r="BZ5" s="23" t="s">
        <v>244</v>
      </c>
      <c r="CA5" s="23" t="s">
        <v>245</v>
      </c>
      <c r="CB5" s="20" t="s">
        <v>246</v>
      </c>
      <c r="CC5" s="25"/>
      <c r="CD5" s="23" t="s">
        <v>247</v>
      </c>
      <c r="CE5" s="23" t="s">
        <v>248</v>
      </c>
      <c r="CF5" s="25"/>
      <c r="CG5" s="20" t="s">
        <v>249</v>
      </c>
      <c r="CH5" s="20" t="s">
        <v>250</v>
      </c>
      <c r="CI5" s="25"/>
      <c r="CJ5" s="19" t="s">
        <v>251</v>
      </c>
      <c r="CK5" s="19" t="s">
        <v>252</v>
      </c>
      <c r="CL5" s="19" t="s">
        <v>253</v>
      </c>
      <c r="CM5" s="19" t="s">
        <v>254</v>
      </c>
      <c r="CN5" s="19" t="s">
        <v>255</v>
      </c>
      <c r="CO5" s="19" t="s">
        <v>256</v>
      </c>
      <c r="CP5" s="19" t="s">
        <v>257</v>
      </c>
      <c r="CQ5" s="25"/>
      <c r="CR5" s="23" t="s">
        <v>207</v>
      </c>
      <c r="CS5" s="71" t="s">
        <v>226</v>
      </c>
      <c r="CT5" s="20" t="s">
        <v>258</v>
      </c>
      <c r="CU5" s="20" t="s">
        <v>259</v>
      </c>
      <c r="CV5" s="72" t="s">
        <v>260</v>
      </c>
      <c r="CW5" s="73" t="s">
        <v>261</v>
      </c>
      <c r="CX5" s="74" t="s">
        <v>104</v>
      </c>
      <c r="CY5" s="73" t="s">
        <v>262</v>
      </c>
      <c r="CZ5" s="73" t="s">
        <v>263</v>
      </c>
      <c r="DA5" s="73" t="s">
        <v>263</v>
      </c>
      <c r="DB5" s="73" t="s">
        <v>264</v>
      </c>
      <c r="DC5" s="73" t="s">
        <v>265</v>
      </c>
      <c r="DD5" s="73" t="s">
        <v>266</v>
      </c>
      <c r="DE5" s="25"/>
      <c r="DF5" s="73" t="s">
        <v>267</v>
      </c>
      <c r="DG5" s="73" t="s">
        <v>268</v>
      </c>
      <c r="DH5" s="73" t="s">
        <v>269</v>
      </c>
      <c r="DI5" s="73" t="s">
        <v>270</v>
      </c>
      <c r="DJ5" s="73" t="s">
        <v>271</v>
      </c>
      <c r="DK5" s="73" t="s">
        <v>272</v>
      </c>
      <c r="DL5" s="25"/>
      <c r="DM5" s="73" t="s">
        <v>226</v>
      </c>
      <c r="DN5" s="73" t="s">
        <v>273</v>
      </c>
      <c r="DO5" s="73" t="s">
        <v>274</v>
      </c>
      <c r="DP5" s="73" t="s">
        <v>275</v>
      </c>
      <c r="DQ5" s="73" t="s">
        <v>274</v>
      </c>
      <c r="DR5" s="25"/>
      <c r="DS5" s="74" t="s">
        <v>276</v>
      </c>
      <c r="DT5" s="74" t="s">
        <v>276</v>
      </c>
      <c r="DU5" s="74" t="s">
        <v>276</v>
      </c>
      <c r="DV5" s="25"/>
      <c r="DW5" s="75" t="s">
        <v>104</v>
      </c>
      <c r="DX5" s="75" t="s">
        <v>104</v>
      </c>
      <c r="DY5" s="75" t="s">
        <v>104</v>
      </c>
      <c r="DZ5" s="75" t="s">
        <v>104</v>
      </c>
      <c r="EA5" s="75" t="s">
        <v>104</v>
      </c>
      <c r="EB5" s="75" t="s">
        <v>104</v>
      </c>
      <c r="EC5" s="25"/>
      <c r="ED5" s="76" t="s">
        <v>277</v>
      </c>
      <c r="EE5" s="20" t="s">
        <v>278</v>
      </c>
      <c r="EF5" s="20" t="s">
        <v>279</v>
      </c>
      <c r="EG5" s="20" t="s">
        <v>280</v>
      </c>
      <c r="EH5" s="23" t="s">
        <v>281</v>
      </c>
      <c r="EI5" s="23" t="s">
        <v>282</v>
      </c>
      <c r="EJ5" s="23" t="s">
        <v>283</v>
      </c>
      <c r="EK5" s="23" t="s">
        <v>284</v>
      </c>
      <c r="EL5" s="23" t="s">
        <v>285</v>
      </c>
      <c r="EM5" s="25"/>
      <c r="EN5" s="73" t="s">
        <v>226</v>
      </c>
      <c r="EO5" s="76" t="s">
        <v>277</v>
      </c>
      <c r="EP5" s="20" t="s">
        <v>278</v>
      </c>
      <c r="EQ5" s="20" t="s">
        <v>279</v>
      </c>
      <c r="ER5" s="20" t="s">
        <v>280</v>
      </c>
      <c r="ES5" s="23" t="s">
        <v>281</v>
      </c>
      <c r="ET5" s="23" t="s">
        <v>282</v>
      </c>
      <c r="EU5" s="23" t="s">
        <v>283</v>
      </c>
      <c r="EV5" s="23" t="s">
        <v>286</v>
      </c>
      <c r="EW5" s="25"/>
    </row>
    <row r="6" spans="1:153" customFormat="1" ht="75" x14ac:dyDescent="0.25">
      <c r="A6" s="47" t="s">
        <v>125</v>
      </c>
      <c r="B6" s="26" t="s">
        <v>48</v>
      </c>
      <c r="C6" s="19" t="s">
        <v>17</v>
      </c>
      <c r="D6" s="28" t="s">
        <v>49</v>
      </c>
      <c r="E6" s="69" t="s">
        <v>184</v>
      </c>
      <c r="F6" s="69" t="s">
        <v>185</v>
      </c>
      <c r="G6" s="20" t="s">
        <v>186</v>
      </c>
      <c r="H6" s="20" t="s">
        <v>287</v>
      </c>
      <c r="I6" s="20" t="s">
        <v>287</v>
      </c>
      <c r="J6" s="20" t="s">
        <v>288</v>
      </c>
      <c r="K6" s="20" t="s">
        <v>289</v>
      </c>
      <c r="L6" s="28" t="s">
        <v>190</v>
      </c>
      <c r="M6" s="28" t="s">
        <v>191</v>
      </c>
      <c r="N6" s="20" t="s">
        <v>192</v>
      </c>
      <c r="O6" s="23" t="s">
        <v>193</v>
      </c>
      <c r="P6" s="23" t="s">
        <v>194</v>
      </c>
      <c r="Q6" s="23" t="s">
        <v>195</v>
      </c>
      <c r="R6" s="23" t="s">
        <v>290</v>
      </c>
      <c r="S6" s="30"/>
      <c r="T6" s="23" t="s">
        <v>291</v>
      </c>
      <c r="U6" s="77" t="s">
        <v>218</v>
      </c>
      <c r="V6" s="77" t="s">
        <v>199</v>
      </c>
      <c r="W6" s="30"/>
      <c r="X6" s="23" t="s">
        <v>292</v>
      </c>
      <c r="Y6" s="23" t="s">
        <v>293</v>
      </c>
      <c r="Z6" s="23" t="s">
        <v>294</v>
      </c>
      <c r="AA6" s="78" t="s">
        <v>295</v>
      </c>
      <c r="AB6" s="23" t="s">
        <v>296</v>
      </c>
      <c r="AC6" s="23" t="s">
        <v>297</v>
      </c>
      <c r="AD6" s="23" t="s">
        <v>298</v>
      </c>
      <c r="AE6" s="30"/>
      <c r="AF6" s="23" t="s">
        <v>299</v>
      </c>
      <c r="AG6" s="23" t="s">
        <v>300</v>
      </c>
      <c r="AH6" s="23" t="s">
        <v>301</v>
      </c>
      <c r="AI6" s="23" t="s">
        <v>218</v>
      </c>
      <c r="AJ6" s="23" t="s">
        <v>218</v>
      </c>
      <c r="AK6" s="78" t="s">
        <v>302</v>
      </c>
      <c r="AL6" s="23" t="s">
        <v>212</v>
      </c>
      <c r="AM6" s="70" t="s">
        <v>213</v>
      </c>
      <c r="AN6" s="23" t="s">
        <v>214</v>
      </c>
      <c r="AO6" s="23" t="s">
        <v>215</v>
      </c>
      <c r="AP6" s="23" t="s">
        <v>216</v>
      </c>
      <c r="AQ6" s="28" t="s">
        <v>217</v>
      </c>
      <c r="AR6" s="30"/>
      <c r="AS6" s="23" t="s">
        <v>218</v>
      </c>
      <c r="AT6" s="23" t="s">
        <v>218</v>
      </c>
      <c r="AU6" s="23" t="s">
        <v>219</v>
      </c>
      <c r="AV6" s="23" t="s">
        <v>220</v>
      </c>
      <c r="AW6" s="23" t="s">
        <v>221</v>
      </c>
      <c r="AX6" s="23" t="s">
        <v>222</v>
      </c>
      <c r="AY6" s="23" t="s">
        <v>223</v>
      </c>
      <c r="AZ6" s="23" t="s">
        <v>223</v>
      </c>
      <c r="BA6" s="30"/>
      <c r="BB6" s="20" t="s">
        <v>303</v>
      </c>
      <c r="BC6" s="28" t="s">
        <v>304</v>
      </c>
      <c r="BD6" s="30"/>
      <c r="BE6" s="20" t="s">
        <v>226</v>
      </c>
      <c r="BF6" s="20" t="s">
        <v>305</v>
      </c>
      <c r="BG6" s="20" t="s">
        <v>306</v>
      </c>
      <c r="BH6" s="20" t="s">
        <v>307</v>
      </c>
      <c r="BI6" s="20" t="s">
        <v>308</v>
      </c>
      <c r="BJ6" s="30"/>
      <c r="BK6" s="20" t="s">
        <v>309</v>
      </c>
      <c r="BL6" s="20" t="s">
        <v>310</v>
      </c>
      <c r="BM6" s="20" t="s">
        <v>233</v>
      </c>
      <c r="BN6" s="28" t="s">
        <v>234</v>
      </c>
      <c r="BO6" s="28" t="s">
        <v>235</v>
      </c>
      <c r="BP6" s="20" t="s">
        <v>236</v>
      </c>
      <c r="BQ6" s="20" t="s">
        <v>237</v>
      </c>
      <c r="BR6" s="20" t="s">
        <v>238</v>
      </c>
      <c r="BS6" s="20" t="s">
        <v>239</v>
      </c>
      <c r="BT6" s="20" t="s">
        <v>240</v>
      </c>
      <c r="BU6" s="20" t="s">
        <v>311</v>
      </c>
      <c r="BV6" s="20" t="s">
        <v>242</v>
      </c>
      <c r="BW6" s="76" t="s">
        <v>312</v>
      </c>
      <c r="BX6" s="30"/>
      <c r="BY6" s="20" t="s">
        <v>226</v>
      </c>
      <c r="BZ6" s="20" t="s">
        <v>242</v>
      </c>
      <c r="CA6" s="20" t="s">
        <v>242</v>
      </c>
      <c r="CB6" s="28" t="s">
        <v>313</v>
      </c>
      <c r="CC6" s="30"/>
      <c r="CD6" s="76" t="s">
        <v>314</v>
      </c>
      <c r="CE6" s="76" t="s">
        <v>315</v>
      </c>
      <c r="CF6" s="30"/>
      <c r="CG6" s="28" t="s">
        <v>249</v>
      </c>
      <c r="CH6" s="20" t="s">
        <v>250</v>
      </c>
      <c r="CI6" s="30"/>
      <c r="CJ6" s="20" t="s">
        <v>316</v>
      </c>
      <c r="CK6" s="20" t="s">
        <v>317</v>
      </c>
      <c r="CL6" s="20" t="s">
        <v>318</v>
      </c>
      <c r="CM6" s="20" t="s">
        <v>319</v>
      </c>
      <c r="CN6" s="20" t="s">
        <v>320</v>
      </c>
      <c r="CO6" s="20" t="s">
        <v>321</v>
      </c>
      <c r="CP6" s="20" t="s">
        <v>322</v>
      </c>
      <c r="CQ6" s="30"/>
      <c r="CR6" s="23" t="s">
        <v>299</v>
      </c>
      <c r="CS6" s="71" t="s">
        <v>323</v>
      </c>
      <c r="CT6" s="20" t="s">
        <v>258</v>
      </c>
      <c r="CU6" s="28" t="s">
        <v>259</v>
      </c>
      <c r="CV6" s="79" t="s">
        <v>260</v>
      </c>
      <c r="CW6" s="73" t="s">
        <v>324</v>
      </c>
      <c r="CX6" s="74" t="s">
        <v>104</v>
      </c>
      <c r="CY6" s="73" t="s">
        <v>262</v>
      </c>
      <c r="CZ6" s="73" t="s">
        <v>325</v>
      </c>
      <c r="DA6" s="73" t="s">
        <v>326</v>
      </c>
      <c r="DB6" s="73" t="s">
        <v>264</v>
      </c>
      <c r="DC6" s="73" t="s">
        <v>265</v>
      </c>
      <c r="DD6" s="73" t="s">
        <v>266</v>
      </c>
      <c r="DE6" s="30"/>
      <c r="DF6" s="73" t="s">
        <v>327</v>
      </c>
      <c r="DG6" s="73" t="s">
        <v>328</v>
      </c>
      <c r="DH6" s="80" t="s">
        <v>329</v>
      </c>
      <c r="DI6" s="73" t="s">
        <v>330</v>
      </c>
      <c r="DJ6" s="73" t="s">
        <v>331</v>
      </c>
      <c r="DK6" s="73" t="s">
        <v>332</v>
      </c>
      <c r="DL6" s="30"/>
      <c r="DM6" s="73" t="s">
        <v>226</v>
      </c>
      <c r="DN6" s="73" t="s">
        <v>333</v>
      </c>
      <c r="DO6" s="73" t="s">
        <v>329</v>
      </c>
      <c r="DP6" s="73" t="s">
        <v>334</v>
      </c>
      <c r="DQ6" s="73" t="s">
        <v>335</v>
      </c>
      <c r="DR6" s="30"/>
      <c r="DS6" s="74" t="s">
        <v>276</v>
      </c>
      <c r="DT6" s="74" t="s">
        <v>276</v>
      </c>
      <c r="DU6" s="74" t="s">
        <v>276</v>
      </c>
      <c r="DV6" s="30"/>
      <c r="DW6" s="75" t="s">
        <v>104</v>
      </c>
      <c r="DX6" s="75" t="s">
        <v>104</v>
      </c>
      <c r="DY6" s="75" t="s">
        <v>104</v>
      </c>
      <c r="DZ6" s="75" t="s">
        <v>104</v>
      </c>
      <c r="EA6" s="75" t="s">
        <v>104</v>
      </c>
      <c r="EB6" s="75" t="s">
        <v>104</v>
      </c>
      <c r="EC6" s="30"/>
      <c r="ED6" s="76" t="s">
        <v>277</v>
      </c>
      <c r="EE6" s="20" t="s">
        <v>278</v>
      </c>
      <c r="EF6" s="20" t="s">
        <v>279</v>
      </c>
      <c r="EG6" s="20" t="s">
        <v>280</v>
      </c>
      <c r="EH6" s="31" t="s">
        <v>336</v>
      </c>
      <c r="EI6" s="20" t="s">
        <v>337</v>
      </c>
      <c r="EJ6" s="20" t="s">
        <v>338</v>
      </c>
      <c r="EK6" s="23" t="s">
        <v>339</v>
      </c>
      <c r="EL6" s="20" t="s">
        <v>340</v>
      </c>
      <c r="EM6" s="30"/>
      <c r="EN6" s="73" t="s">
        <v>226</v>
      </c>
      <c r="EO6" s="76" t="s">
        <v>277</v>
      </c>
      <c r="EP6" s="20" t="s">
        <v>278</v>
      </c>
      <c r="EQ6" s="20" t="s">
        <v>279</v>
      </c>
      <c r="ER6" s="20" t="s">
        <v>280</v>
      </c>
      <c r="ES6" s="31" t="s">
        <v>336</v>
      </c>
      <c r="ET6" s="20" t="s">
        <v>337</v>
      </c>
      <c r="EU6" s="20" t="s">
        <v>338</v>
      </c>
      <c r="EV6" s="78" t="s">
        <v>286</v>
      </c>
      <c r="EW6" s="30"/>
    </row>
    <row r="7" spans="1:153" customFormat="1" ht="409.5" x14ac:dyDescent="0.25">
      <c r="A7" s="61" t="s">
        <v>123</v>
      </c>
      <c r="B7" s="32" t="s">
        <v>65</v>
      </c>
      <c r="C7" s="34" t="s">
        <v>69</v>
      </c>
      <c r="D7" s="32" t="s">
        <v>341</v>
      </c>
      <c r="E7" s="32" t="s">
        <v>342</v>
      </c>
      <c r="F7" s="32" t="s">
        <v>343</v>
      </c>
      <c r="G7" s="32" t="s">
        <v>344</v>
      </c>
      <c r="H7" s="32" t="s">
        <v>345</v>
      </c>
      <c r="I7" s="32" t="s">
        <v>346</v>
      </c>
      <c r="J7" s="32" t="s">
        <v>347</v>
      </c>
      <c r="K7" s="81" t="s">
        <v>348</v>
      </c>
      <c r="L7" s="34" t="s">
        <v>349</v>
      </c>
      <c r="M7" s="34" t="s">
        <v>350</v>
      </c>
      <c r="N7" s="34" t="s">
        <v>351</v>
      </c>
      <c r="O7" s="34" t="s">
        <v>352</v>
      </c>
      <c r="P7" s="34" t="s">
        <v>353</v>
      </c>
      <c r="Q7" s="34" t="s">
        <v>354</v>
      </c>
      <c r="R7" s="34" t="s">
        <v>355</v>
      </c>
      <c r="S7" s="14"/>
      <c r="T7" s="34" t="s">
        <v>356</v>
      </c>
      <c r="U7" s="34" t="s">
        <v>357</v>
      </c>
      <c r="V7" s="34" t="s">
        <v>358</v>
      </c>
      <c r="W7" s="14"/>
      <c r="X7" s="34" t="s">
        <v>359</v>
      </c>
      <c r="Y7" s="34" t="s">
        <v>359</v>
      </c>
      <c r="Z7" s="34" t="s">
        <v>359</v>
      </c>
      <c r="AA7" s="82" t="s">
        <v>360</v>
      </c>
      <c r="AB7" s="34" t="s">
        <v>359</v>
      </c>
      <c r="AC7" s="34" t="s">
        <v>359</v>
      </c>
      <c r="AD7" s="34" t="s">
        <v>359</v>
      </c>
      <c r="AE7" s="14"/>
      <c r="AF7" s="34" t="s">
        <v>361</v>
      </c>
      <c r="AG7" s="34" t="s">
        <v>362</v>
      </c>
      <c r="AH7" s="34" t="s">
        <v>363</v>
      </c>
      <c r="AI7" s="34" t="s">
        <v>364</v>
      </c>
      <c r="AJ7" s="34" t="s">
        <v>365</v>
      </c>
      <c r="AK7" s="34" t="s">
        <v>366</v>
      </c>
      <c r="AL7" s="34" t="s">
        <v>367</v>
      </c>
      <c r="AM7" s="34" t="s">
        <v>368</v>
      </c>
      <c r="AN7" s="34" t="s">
        <v>369</v>
      </c>
      <c r="AO7" s="34" t="s">
        <v>370</v>
      </c>
      <c r="AP7" s="34" t="s">
        <v>371</v>
      </c>
      <c r="AQ7" s="34" t="s">
        <v>372</v>
      </c>
      <c r="AR7" s="14"/>
      <c r="AS7" s="34" t="s">
        <v>373</v>
      </c>
      <c r="AT7" s="34" t="s">
        <v>374</v>
      </c>
      <c r="AU7" s="34" t="s">
        <v>375</v>
      </c>
      <c r="AV7" s="34" t="s">
        <v>376</v>
      </c>
      <c r="AW7" s="34" t="s">
        <v>377</v>
      </c>
      <c r="AX7" s="34" t="s">
        <v>378</v>
      </c>
      <c r="AY7" s="34" t="s">
        <v>379</v>
      </c>
      <c r="AZ7" s="34" t="s">
        <v>380</v>
      </c>
      <c r="BA7" s="14"/>
      <c r="BB7" s="32" t="s">
        <v>381</v>
      </c>
      <c r="BC7" s="32" t="s">
        <v>382</v>
      </c>
      <c r="BD7" s="14"/>
      <c r="BE7" s="34" t="s">
        <v>383</v>
      </c>
      <c r="BF7" s="34" t="s">
        <v>384</v>
      </c>
      <c r="BG7" s="34" t="s">
        <v>385</v>
      </c>
      <c r="BH7" s="34" t="s">
        <v>386</v>
      </c>
      <c r="BI7" s="34" t="s">
        <v>387</v>
      </c>
      <c r="BJ7" s="14"/>
      <c r="BK7" s="34" t="s">
        <v>388</v>
      </c>
      <c r="BL7" s="34" t="s">
        <v>389</v>
      </c>
      <c r="BM7" s="34" t="s">
        <v>390</v>
      </c>
      <c r="BN7" s="34" t="s">
        <v>391</v>
      </c>
      <c r="BO7" s="34" t="s">
        <v>392</v>
      </c>
      <c r="BP7" s="34" t="s">
        <v>393</v>
      </c>
      <c r="BQ7" s="34" t="s">
        <v>394</v>
      </c>
      <c r="BR7" s="34" t="s">
        <v>395</v>
      </c>
      <c r="BS7" s="34" t="s">
        <v>396</v>
      </c>
      <c r="BT7" s="34" t="s">
        <v>397</v>
      </c>
      <c r="BU7" s="34" t="s">
        <v>398</v>
      </c>
      <c r="BV7" s="34" t="s">
        <v>399</v>
      </c>
      <c r="BW7" s="34" t="s">
        <v>400</v>
      </c>
      <c r="BX7" s="14"/>
      <c r="BY7" s="34" t="s">
        <v>383</v>
      </c>
      <c r="BZ7" s="34" t="s">
        <v>401</v>
      </c>
      <c r="CA7" s="34" t="s">
        <v>402</v>
      </c>
      <c r="CB7" s="34" t="s">
        <v>403</v>
      </c>
      <c r="CC7" s="14"/>
      <c r="CD7" s="34" t="s">
        <v>404</v>
      </c>
      <c r="CE7" s="34" t="s">
        <v>405</v>
      </c>
      <c r="CF7" s="14"/>
      <c r="CG7" s="34" t="s">
        <v>406</v>
      </c>
      <c r="CH7" s="34" t="s">
        <v>407</v>
      </c>
      <c r="CI7" s="14"/>
      <c r="CJ7" s="34" t="s">
        <v>408</v>
      </c>
      <c r="CK7" s="34" t="s">
        <v>409</v>
      </c>
      <c r="CL7" s="34" t="s">
        <v>410</v>
      </c>
      <c r="CM7" s="34" t="s">
        <v>411</v>
      </c>
      <c r="CN7" s="34" t="s">
        <v>412</v>
      </c>
      <c r="CO7" s="34" t="s">
        <v>413</v>
      </c>
      <c r="CP7" s="34" t="s">
        <v>414</v>
      </c>
      <c r="CQ7" s="14"/>
      <c r="CR7" s="34" t="s">
        <v>361</v>
      </c>
      <c r="CS7" s="34" t="s">
        <v>415</v>
      </c>
      <c r="CT7" s="34" t="s">
        <v>416</v>
      </c>
      <c r="CU7" s="34" t="s">
        <v>417</v>
      </c>
      <c r="CV7" s="34" t="s">
        <v>418</v>
      </c>
      <c r="CW7" s="34" t="s">
        <v>419</v>
      </c>
      <c r="CX7" s="34" t="s">
        <v>420</v>
      </c>
      <c r="CY7" s="34" t="s">
        <v>421</v>
      </c>
      <c r="CZ7" s="34" t="s">
        <v>422</v>
      </c>
      <c r="DA7" s="34" t="s">
        <v>423</v>
      </c>
      <c r="DB7" s="34" t="s">
        <v>424</v>
      </c>
      <c r="DC7" s="34" t="s">
        <v>425</v>
      </c>
      <c r="DD7" s="34" t="s">
        <v>426</v>
      </c>
      <c r="DE7" s="14"/>
      <c r="DF7" s="34" t="s">
        <v>267</v>
      </c>
      <c r="DG7" s="34" t="s">
        <v>427</v>
      </c>
      <c r="DH7" s="34" t="s">
        <v>428</v>
      </c>
      <c r="DI7" s="34" t="s">
        <v>429</v>
      </c>
      <c r="DJ7" s="34" t="s">
        <v>430</v>
      </c>
      <c r="DK7" s="82" t="s">
        <v>431</v>
      </c>
      <c r="DL7" s="14"/>
      <c r="DM7" s="34" t="s">
        <v>432</v>
      </c>
      <c r="DN7" s="34" t="s">
        <v>433</v>
      </c>
      <c r="DO7" s="34" t="s">
        <v>434</v>
      </c>
      <c r="DP7" s="34" t="s">
        <v>435</v>
      </c>
      <c r="DQ7" s="82" t="s">
        <v>436</v>
      </c>
      <c r="DR7" s="14"/>
      <c r="DS7" s="34" t="s">
        <v>437</v>
      </c>
      <c r="DT7" s="34" t="s">
        <v>438</v>
      </c>
      <c r="DU7" s="34" t="s">
        <v>439</v>
      </c>
      <c r="DV7" s="14"/>
      <c r="DW7" s="34" t="s">
        <v>440</v>
      </c>
      <c r="DX7" s="34" t="s">
        <v>441</v>
      </c>
      <c r="DY7" s="34" t="s">
        <v>442</v>
      </c>
      <c r="DZ7" s="34" t="s">
        <v>443</v>
      </c>
      <c r="EA7" s="34" t="s">
        <v>444</v>
      </c>
      <c r="EB7" s="34" t="s">
        <v>445</v>
      </c>
      <c r="EC7" s="14"/>
      <c r="ED7" s="34" t="s">
        <v>446</v>
      </c>
      <c r="EE7" s="34" t="s">
        <v>447</v>
      </c>
      <c r="EF7" s="34" t="s">
        <v>448</v>
      </c>
      <c r="EG7" s="34" t="s">
        <v>449</v>
      </c>
      <c r="EH7" s="34" t="s">
        <v>450</v>
      </c>
      <c r="EI7" s="34" t="s">
        <v>451</v>
      </c>
      <c r="EJ7" s="34" t="s">
        <v>452</v>
      </c>
      <c r="EK7" s="34" t="s">
        <v>453</v>
      </c>
      <c r="EL7" s="34" t="s">
        <v>454</v>
      </c>
      <c r="EM7" s="14"/>
      <c r="EN7" s="34" t="s">
        <v>455</v>
      </c>
      <c r="EO7" s="34" t="s">
        <v>446</v>
      </c>
      <c r="EP7" s="34" t="s">
        <v>447</v>
      </c>
      <c r="EQ7" s="34" t="s">
        <v>448</v>
      </c>
      <c r="ER7" s="34" t="s">
        <v>449</v>
      </c>
      <c r="ES7" s="34" t="s">
        <v>450</v>
      </c>
      <c r="ET7" s="34" t="s">
        <v>451</v>
      </c>
      <c r="EU7" s="34" t="s">
        <v>452</v>
      </c>
      <c r="EV7" s="34" t="s">
        <v>456</v>
      </c>
      <c r="EW7" s="14"/>
    </row>
    <row r="8" spans="1:153" customFormat="1" ht="18.75" x14ac:dyDescent="0.25">
      <c r="A8" s="61" t="s">
        <v>457</v>
      </c>
      <c r="B8" s="32" t="s">
        <v>103</v>
      </c>
      <c r="C8" s="35" t="s">
        <v>104</v>
      </c>
      <c r="D8" s="69" t="s">
        <v>104</v>
      </c>
      <c r="E8" s="69" t="s">
        <v>104</v>
      </c>
      <c r="F8" s="69" t="s">
        <v>104</v>
      </c>
      <c r="G8" s="69" t="s">
        <v>104</v>
      </c>
      <c r="H8" s="69" t="s">
        <v>104</v>
      </c>
      <c r="I8" s="69" t="s">
        <v>104</v>
      </c>
      <c r="J8" s="69" t="s">
        <v>104</v>
      </c>
      <c r="K8" s="69" t="s">
        <v>104</v>
      </c>
      <c r="L8" s="69" t="s">
        <v>104</v>
      </c>
      <c r="M8" s="83" t="s">
        <v>104</v>
      </c>
      <c r="N8" s="83" t="s">
        <v>104</v>
      </c>
      <c r="O8" s="83"/>
      <c r="P8" s="83"/>
      <c r="Q8" s="83" t="s">
        <v>104</v>
      </c>
      <c r="R8" s="83"/>
      <c r="S8" s="14"/>
      <c r="T8" s="83" t="s">
        <v>104</v>
      </c>
      <c r="U8" s="83" t="s">
        <v>104</v>
      </c>
      <c r="V8" s="83" t="s">
        <v>104</v>
      </c>
      <c r="W8" s="14"/>
      <c r="X8" s="69" t="s">
        <v>108</v>
      </c>
      <c r="Y8" s="69" t="s">
        <v>108</v>
      </c>
      <c r="Z8" s="69" t="s">
        <v>108</v>
      </c>
      <c r="AA8" s="69" t="s">
        <v>104</v>
      </c>
      <c r="AB8" s="69" t="s">
        <v>108</v>
      </c>
      <c r="AC8" s="69" t="s">
        <v>108</v>
      </c>
      <c r="AD8" s="69" t="s">
        <v>108</v>
      </c>
      <c r="AE8" s="14"/>
      <c r="AF8" s="69" t="s">
        <v>104</v>
      </c>
      <c r="AG8" s="69" t="s">
        <v>104</v>
      </c>
      <c r="AH8" s="69" t="s">
        <v>104</v>
      </c>
      <c r="AI8" s="69" t="s">
        <v>104</v>
      </c>
      <c r="AJ8" s="69" t="s">
        <v>104</v>
      </c>
      <c r="AK8" s="69" t="s">
        <v>104</v>
      </c>
      <c r="AL8" s="69" t="s">
        <v>104</v>
      </c>
      <c r="AM8" s="69" t="s">
        <v>104</v>
      </c>
      <c r="AN8" s="69" t="s">
        <v>108</v>
      </c>
      <c r="AO8" s="69" t="s">
        <v>108</v>
      </c>
      <c r="AP8" s="69" t="s">
        <v>108</v>
      </c>
      <c r="AQ8" s="35" t="s">
        <v>104</v>
      </c>
      <c r="AR8" s="14"/>
      <c r="AS8" s="69" t="s">
        <v>104</v>
      </c>
      <c r="AT8" s="69" t="s">
        <v>104</v>
      </c>
      <c r="AU8" s="69" t="s">
        <v>108</v>
      </c>
      <c r="AV8" s="69" t="s">
        <v>108</v>
      </c>
      <c r="AW8" s="69" t="s">
        <v>104</v>
      </c>
      <c r="AX8" s="69" t="s">
        <v>104</v>
      </c>
      <c r="AY8" s="69" t="s">
        <v>108</v>
      </c>
      <c r="AZ8" s="69" t="s">
        <v>108</v>
      </c>
      <c r="BA8" s="14"/>
      <c r="BB8" s="69" t="s">
        <v>104</v>
      </c>
      <c r="BC8" s="69" t="s">
        <v>104</v>
      </c>
      <c r="BD8" s="14"/>
      <c r="BE8" s="83"/>
      <c r="BF8" s="83" t="s">
        <v>458</v>
      </c>
      <c r="BG8" s="83" t="s">
        <v>459</v>
      </c>
      <c r="BH8" s="83" t="s">
        <v>458</v>
      </c>
      <c r="BI8" s="83"/>
      <c r="BJ8" s="14"/>
      <c r="BK8" s="38" t="s">
        <v>460</v>
      </c>
      <c r="BL8" s="38" t="s">
        <v>460</v>
      </c>
      <c r="BM8" s="38" t="s">
        <v>460</v>
      </c>
      <c r="BN8" s="83" t="s">
        <v>104</v>
      </c>
      <c r="BO8" s="83" t="s">
        <v>104</v>
      </c>
      <c r="BP8" s="83" t="s">
        <v>104</v>
      </c>
      <c r="BQ8" s="38" t="s">
        <v>460</v>
      </c>
      <c r="BR8" s="38" t="s">
        <v>460</v>
      </c>
      <c r="BS8" s="38" t="s">
        <v>460</v>
      </c>
      <c r="BT8" s="38" t="s">
        <v>460</v>
      </c>
      <c r="BU8" s="83" t="s">
        <v>104</v>
      </c>
      <c r="BV8" s="83" t="s">
        <v>108</v>
      </c>
      <c r="BW8" s="83" t="s">
        <v>104</v>
      </c>
      <c r="BX8" s="14"/>
      <c r="BY8" s="83"/>
      <c r="BZ8" s="83" t="s">
        <v>108</v>
      </c>
      <c r="CA8" s="83" t="s">
        <v>108</v>
      </c>
      <c r="CB8" s="38" t="s">
        <v>104</v>
      </c>
      <c r="CC8" s="14"/>
      <c r="CD8" s="38" t="s">
        <v>461</v>
      </c>
      <c r="CE8" s="38" t="s">
        <v>461</v>
      </c>
      <c r="CF8" s="14"/>
      <c r="CG8" s="38" t="s">
        <v>104</v>
      </c>
      <c r="CH8" s="38" t="s">
        <v>104</v>
      </c>
      <c r="CI8" s="14"/>
      <c r="CJ8" s="35" t="s">
        <v>458</v>
      </c>
      <c r="CK8" s="35" t="s">
        <v>458</v>
      </c>
      <c r="CL8" s="35" t="s">
        <v>458</v>
      </c>
      <c r="CM8" s="35" t="s">
        <v>458</v>
      </c>
      <c r="CN8" s="35" t="s">
        <v>458</v>
      </c>
      <c r="CO8" s="35" t="s">
        <v>458</v>
      </c>
      <c r="CP8" s="35" t="s">
        <v>104</v>
      </c>
      <c r="CQ8" s="14"/>
      <c r="CR8" s="69" t="s">
        <v>104</v>
      </c>
      <c r="CS8" s="38" t="s">
        <v>104</v>
      </c>
      <c r="CT8" s="38" t="s">
        <v>104</v>
      </c>
      <c r="CU8" s="38" t="s">
        <v>104</v>
      </c>
      <c r="CV8" s="38" t="s">
        <v>104</v>
      </c>
      <c r="CW8" s="38" t="s">
        <v>104</v>
      </c>
      <c r="CX8" s="38" t="s">
        <v>104</v>
      </c>
      <c r="CY8" s="38" t="s">
        <v>462</v>
      </c>
      <c r="CZ8" s="38" t="s">
        <v>108</v>
      </c>
      <c r="DA8" s="38" t="s">
        <v>104</v>
      </c>
      <c r="DB8" s="38" t="s">
        <v>104</v>
      </c>
      <c r="DC8" s="38" t="s">
        <v>104</v>
      </c>
      <c r="DD8" s="38" t="s">
        <v>104</v>
      </c>
      <c r="DE8" s="14"/>
      <c r="DF8" s="38" t="s">
        <v>104</v>
      </c>
      <c r="DG8" s="38" t="s">
        <v>104</v>
      </c>
      <c r="DH8" s="38" t="s">
        <v>104</v>
      </c>
      <c r="DI8" s="38" t="s">
        <v>109</v>
      </c>
      <c r="DJ8" s="38" t="s">
        <v>104</v>
      </c>
      <c r="DK8" s="38" t="s">
        <v>104</v>
      </c>
      <c r="DL8" s="14"/>
      <c r="DM8" s="38" t="s">
        <v>104</v>
      </c>
      <c r="DN8" s="38" t="s">
        <v>104</v>
      </c>
      <c r="DO8" s="38" t="s">
        <v>104</v>
      </c>
      <c r="DP8" s="38" t="s">
        <v>104</v>
      </c>
      <c r="DQ8" s="38"/>
      <c r="DR8" s="14"/>
      <c r="DS8" s="38" t="s">
        <v>108</v>
      </c>
      <c r="DT8" s="38" t="s">
        <v>108</v>
      </c>
      <c r="DU8" s="38" t="s">
        <v>104</v>
      </c>
      <c r="DV8" s="14"/>
      <c r="DW8" s="38" t="s">
        <v>104</v>
      </c>
      <c r="DX8" s="38" t="s">
        <v>104</v>
      </c>
      <c r="DY8" s="38" t="s">
        <v>104</v>
      </c>
      <c r="DZ8" s="38" t="s">
        <v>104</v>
      </c>
      <c r="EA8" s="38" t="s">
        <v>104</v>
      </c>
      <c r="EB8" s="38" t="s">
        <v>104</v>
      </c>
      <c r="EC8" s="14"/>
      <c r="ED8" s="83" t="s">
        <v>104</v>
      </c>
      <c r="EE8" s="83" t="s">
        <v>108</v>
      </c>
      <c r="EF8" s="83" t="s">
        <v>108</v>
      </c>
      <c r="EG8" s="83" t="s">
        <v>108</v>
      </c>
      <c r="EH8" s="83" t="s">
        <v>104</v>
      </c>
      <c r="EI8" s="83" t="s">
        <v>104</v>
      </c>
      <c r="EJ8" s="83" t="s">
        <v>109</v>
      </c>
      <c r="EK8" s="83" t="s">
        <v>104</v>
      </c>
      <c r="EL8" s="83" t="s">
        <v>104</v>
      </c>
      <c r="EM8" s="14"/>
      <c r="EN8" s="83" t="s">
        <v>104</v>
      </c>
      <c r="EO8" s="83" t="s">
        <v>104</v>
      </c>
      <c r="EP8" s="83" t="s">
        <v>108</v>
      </c>
      <c r="EQ8" s="83" t="s">
        <v>108</v>
      </c>
      <c r="ER8" s="83" t="s">
        <v>108</v>
      </c>
      <c r="ES8" s="83" t="s">
        <v>104</v>
      </c>
      <c r="ET8" s="83" t="s">
        <v>104</v>
      </c>
      <c r="EU8" s="83" t="s">
        <v>109</v>
      </c>
      <c r="EV8" s="69" t="s">
        <v>104</v>
      </c>
      <c r="EW8" s="14"/>
    </row>
    <row r="9" spans="1:153" x14ac:dyDescent="0.25">
      <c r="A9" s="61" t="s">
        <v>137</v>
      </c>
      <c r="D9" s="39" t="s">
        <v>463</v>
      </c>
      <c r="T9" s="39" t="s">
        <v>464</v>
      </c>
      <c r="U9" s="39" t="s">
        <v>464</v>
      </c>
      <c r="V9" s="39" t="s">
        <v>464</v>
      </c>
      <c r="X9" s="39" t="s">
        <v>464</v>
      </c>
      <c r="Y9" s="39" t="s">
        <v>464</v>
      </c>
      <c r="Z9" s="39" t="s">
        <v>464</v>
      </c>
      <c r="AA9" s="39" t="s">
        <v>464</v>
      </c>
      <c r="AB9" s="39" t="s">
        <v>464</v>
      </c>
      <c r="AC9" s="39" t="s">
        <v>464</v>
      </c>
      <c r="AD9" s="39" t="s">
        <v>464</v>
      </c>
      <c r="AJ9" s="84"/>
      <c r="AK9" s="39" t="s">
        <v>464</v>
      </c>
      <c r="BE9" s="84" t="s">
        <v>465</v>
      </c>
      <c r="BF9" s="39" t="s">
        <v>465</v>
      </c>
      <c r="BG9" s="39" t="s">
        <v>465</v>
      </c>
      <c r="BH9" s="39" t="s">
        <v>465</v>
      </c>
      <c r="BI9" s="39" t="s">
        <v>465</v>
      </c>
      <c r="BP9" s="84"/>
      <c r="BY9" s="39" t="s">
        <v>466</v>
      </c>
      <c r="BZ9" s="39" t="s">
        <v>466</v>
      </c>
      <c r="CA9" s="39" t="s">
        <v>466</v>
      </c>
      <c r="CB9" s="39" t="s">
        <v>466</v>
      </c>
      <c r="CJ9" s="84"/>
      <c r="CK9" s="84"/>
      <c r="CL9" s="84"/>
      <c r="CM9" s="84"/>
      <c r="CN9" s="84"/>
      <c r="CO9" s="84"/>
      <c r="CP9" s="84"/>
      <c r="CR9" s="84"/>
      <c r="CS9" s="84"/>
      <c r="DF9" s="84"/>
      <c r="DG9" s="84"/>
      <c r="DH9" s="84"/>
      <c r="DI9" s="84"/>
      <c r="DQ9" s="39" t="s">
        <v>467</v>
      </c>
      <c r="EN9" s="39" t="s">
        <v>467</v>
      </c>
    </row>
    <row r="10" spans="1:153" x14ac:dyDescent="0.25">
      <c r="C10" s="39" t="s">
        <v>643</v>
      </c>
      <c r="D10" s="39" t="s">
        <v>612</v>
      </c>
      <c r="G10" s="39">
        <v>1</v>
      </c>
      <c r="J10" s="39">
        <v>1</v>
      </c>
      <c r="L10" s="39">
        <v>13</v>
      </c>
      <c r="M10" s="39">
        <v>3</v>
      </c>
      <c r="N10" t="s">
        <v>671</v>
      </c>
      <c r="AA10" s="85"/>
      <c r="BC10" s="39">
        <v>8</v>
      </c>
      <c r="BE10" s="39" t="s">
        <v>612</v>
      </c>
      <c r="BF10" s="39">
        <v>230</v>
      </c>
      <c r="BG10" s="39">
        <v>40</v>
      </c>
      <c r="BH10" s="39">
        <v>690</v>
      </c>
      <c r="BK10" s="51">
        <v>2.5</v>
      </c>
      <c r="BL10" s="51">
        <v>50</v>
      </c>
      <c r="BM10" s="51">
        <v>50</v>
      </c>
      <c r="BN10" s="51">
        <v>14</v>
      </c>
      <c r="BO10" s="51">
        <v>1</v>
      </c>
      <c r="BP10" s="51">
        <v>1</v>
      </c>
      <c r="BQ10" s="51"/>
      <c r="BR10" s="51"/>
      <c r="BS10" s="51"/>
      <c r="BT10" s="51"/>
      <c r="BU10" s="39">
        <v>1</v>
      </c>
      <c r="BY10" s="39" t="s">
        <v>612</v>
      </c>
      <c r="CB10" s="39" t="s">
        <v>673</v>
      </c>
      <c r="CD10" s="39">
        <v>2.5</v>
      </c>
      <c r="CE10" s="39">
        <v>3.5</v>
      </c>
    </row>
    <row r="11" spans="1:153" x14ac:dyDescent="0.25">
      <c r="C11" s="39" t="s">
        <v>643</v>
      </c>
      <c r="D11" s="39" t="s">
        <v>613</v>
      </c>
      <c r="G11" s="39">
        <v>2</v>
      </c>
      <c r="J11" s="39">
        <v>2</v>
      </c>
      <c r="L11" s="39">
        <v>13</v>
      </c>
      <c r="M11" s="39">
        <v>2</v>
      </c>
      <c r="N11" t="s">
        <v>672</v>
      </c>
      <c r="AA11" s="85"/>
      <c r="BC11" s="39">
        <v>9</v>
      </c>
      <c r="BE11" s="39" t="s">
        <v>613</v>
      </c>
      <c r="BF11" s="39">
        <v>230</v>
      </c>
      <c r="BG11" s="39">
        <v>40</v>
      </c>
      <c r="BH11" s="39">
        <v>690</v>
      </c>
      <c r="BK11" s="51">
        <v>2.5</v>
      </c>
      <c r="BL11" s="51">
        <v>50</v>
      </c>
      <c r="BM11" s="51">
        <v>50</v>
      </c>
      <c r="BN11" s="51">
        <v>14</v>
      </c>
      <c r="BO11" s="51">
        <v>1</v>
      </c>
      <c r="BP11" s="51">
        <v>1</v>
      </c>
      <c r="BQ11" s="51"/>
      <c r="BR11" s="51"/>
      <c r="BS11" s="51"/>
      <c r="BT11" s="51"/>
      <c r="BU11" s="51">
        <v>1</v>
      </c>
      <c r="BV11" s="51"/>
      <c r="BW11" s="51"/>
      <c r="BY11" s="39" t="s">
        <v>613</v>
      </c>
      <c r="BZ11" s="51"/>
      <c r="CA11" s="51"/>
      <c r="CB11" s="39" t="s">
        <v>673</v>
      </c>
      <c r="CD11" s="39">
        <v>2.5</v>
      </c>
      <c r="CE11" s="39">
        <v>3.5</v>
      </c>
    </row>
    <row r="12" spans="1:153" x14ac:dyDescent="0.25">
      <c r="C12" s="39" t="s">
        <v>643</v>
      </c>
      <c r="D12" s="39" t="s">
        <v>161</v>
      </c>
      <c r="N12"/>
      <c r="T12" s="39" t="s">
        <v>617</v>
      </c>
      <c r="U12" s="39" t="s">
        <v>617</v>
      </c>
      <c r="V12" s="39" t="s">
        <v>618</v>
      </c>
      <c r="AA12" s="85"/>
      <c r="BK12" s="51"/>
      <c r="BL12" s="51"/>
      <c r="BM12" s="51"/>
      <c r="BN12" s="51"/>
      <c r="BO12" s="51"/>
      <c r="BP12" s="51"/>
    </row>
    <row r="13" spans="1:153" x14ac:dyDescent="0.25">
      <c r="C13" s="39" t="s">
        <v>643</v>
      </c>
      <c r="D13" s="39" t="s">
        <v>616</v>
      </c>
      <c r="N13"/>
      <c r="AA13" s="85"/>
      <c r="BK13" s="51"/>
      <c r="BL13" s="51"/>
      <c r="BM13" s="51"/>
      <c r="BN13" s="51"/>
      <c r="BO13" s="51"/>
      <c r="BP13" s="51"/>
    </row>
    <row r="14" spans="1:153" x14ac:dyDescent="0.25">
      <c r="N14"/>
      <c r="AA14" s="85"/>
    </row>
    <row r="15" spans="1:153" x14ac:dyDescent="0.25">
      <c r="C15" s="40" t="s">
        <v>644</v>
      </c>
      <c r="D15" s="39" t="s">
        <v>612</v>
      </c>
      <c r="G15" s="39">
        <v>1</v>
      </c>
      <c r="J15" s="39">
        <v>1</v>
      </c>
      <c r="L15" s="39">
        <v>13</v>
      </c>
      <c r="M15" s="39">
        <v>3</v>
      </c>
      <c r="N15" t="s">
        <v>671</v>
      </c>
      <c r="AA15" s="85"/>
      <c r="BC15" s="39">
        <v>8</v>
      </c>
      <c r="BE15" s="39" t="s">
        <v>612</v>
      </c>
      <c r="BF15" s="39">
        <v>230</v>
      </c>
      <c r="BG15" s="39">
        <v>40</v>
      </c>
      <c r="BH15" s="39">
        <v>690</v>
      </c>
      <c r="BK15" s="51">
        <v>2.5</v>
      </c>
      <c r="BL15" s="51">
        <v>50</v>
      </c>
      <c r="BM15" s="51">
        <v>50</v>
      </c>
      <c r="BN15" s="51">
        <v>14</v>
      </c>
      <c r="BO15" s="51">
        <v>1</v>
      </c>
      <c r="BP15" s="51">
        <v>1</v>
      </c>
      <c r="BQ15" s="51"/>
      <c r="BR15" s="51"/>
      <c r="BS15" s="51"/>
      <c r="BT15" s="51"/>
      <c r="BU15" s="39">
        <v>1</v>
      </c>
      <c r="BY15" s="39" t="s">
        <v>612</v>
      </c>
      <c r="CB15" s="39" t="s">
        <v>673</v>
      </c>
      <c r="CD15" s="39">
        <v>2.5</v>
      </c>
      <c r="CE15" s="39">
        <v>3.5</v>
      </c>
    </row>
    <row r="16" spans="1:153" x14ac:dyDescent="0.25">
      <c r="C16" s="40" t="s">
        <v>644</v>
      </c>
      <c r="D16" s="39" t="s">
        <v>613</v>
      </c>
      <c r="G16" s="39">
        <v>2</v>
      </c>
      <c r="J16" s="39">
        <v>2</v>
      </c>
      <c r="L16" s="39">
        <v>13</v>
      </c>
      <c r="M16" s="39">
        <v>2</v>
      </c>
      <c r="N16" t="s">
        <v>672</v>
      </c>
      <c r="AA16" s="85"/>
      <c r="BC16" s="39">
        <v>9</v>
      </c>
      <c r="BE16" s="39" t="s">
        <v>613</v>
      </c>
      <c r="BF16" s="39">
        <v>230</v>
      </c>
      <c r="BG16" s="39">
        <v>40</v>
      </c>
      <c r="BH16" s="39">
        <v>690</v>
      </c>
      <c r="BK16" s="51">
        <v>2.5</v>
      </c>
      <c r="BL16" s="51">
        <v>50</v>
      </c>
      <c r="BM16" s="51">
        <v>50</v>
      </c>
      <c r="BN16" s="51">
        <v>14</v>
      </c>
      <c r="BO16" s="51">
        <v>1</v>
      </c>
      <c r="BP16" s="51">
        <v>1</v>
      </c>
      <c r="BQ16" s="51"/>
      <c r="BR16" s="51"/>
      <c r="BS16" s="51"/>
      <c r="BT16" s="51"/>
      <c r="BU16" s="51">
        <v>1</v>
      </c>
      <c r="BV16" s="51"/>
      <c r="BW16" s="51"/>
      <c r="BY16" s="39" t="s">
        <v>613</v>
      </c>
      <c r="BZ16" s="51"/>
      <c r="CA16" s="51"/>
      <c r="CB16" s="39" t="s">
        <v>673</v>
      </c>
      <c r="CD16" s="39">
        <v>2.5</v>
      </c>
      <c r="CE16" s="39">
        <v>3.5</v>
      </c>
    </row>
    <row r="17" spans="3:83" x14ac:dyDescent="0.25">
      <c r="C17" s="40" t="s">
        <v>644</v>
      </c>
      <c r="D17" s="39" t="s">
        <v>614</v>
      </c>
      <c r="G17" s="39">
        <v>3</v>
      </c>
      <c r="J17" s="39">
        <v>3</v>
      </c>
      <c r="L17" s="39">
        <v>13</v>
      </c>
      <c r="M17" s="39">
        <v>3</v>
      </c>
      <c r="N17" t="s">
        <v>674</v>
      </c>
      <c r="AA17" s="85"/>
      <c r="BC17" s="39">
        <v>8</v>
      </c>
      <c r="BE17" s="39" t="s">
        <v>614</v>
      </c>
      <c r="BF17" s="39">
        <v>230</v>
      </c>
      <c r="BG17" s="39">
        <v>40</v>
      </c>
      <c r="BH17" s="39">
        <v>690</v>
      </c>
      <c r="BK17" s="51">
        <v>2.5</v>
      </c>
      <c r="BL17" s="51">
        <v>50</v>
      </c>
      <c r="BM17" s="51">
        <v>50</v>
      </c>
      <c r="BN17" s="51">
        <v>14</v>
      </c>
      <c r="BO17" s="51">
        <v>1</v>
      </c>
      <c r="BP17" s="51">
        <v>1</v>
      </c>
      <c r="BQ17" s="51"/>
      <c r="BR17" s="51"/>
      <c r="BS17" s="51"/>
      <c r="BT17" s="51"/>
      <c r="BU17" s="39">
        <v>1</v>
      </c>
      <c r="BY17" s="39" t="s">
        <v>614</v>
      </c>
      <c r="CB17" s="39" t="s">
        <v>673</v>
      </c>
      <c r="CD17" s="39">
        <v>2.5</v>
      </c>
      <c r="CE17" s="39">
        <v>3.5</v>
      </c>
    </row>
    <row r="18" spans="3:83" x14ac:dyDescent="0.25">
      <c r="C18" s="40" t="s">
        <v>644</v>
      </c>
      <c r="D18" s="39" t="s">
        <v>615</v>
      </c>
      <c r="G18" s="39">
        <v>4</v>
      </c>
      <c r="J18" s="39">
        <v>4</v>
      </c>
      <c r="L18" s="39">
        <v>13</v>
      </c>
      <c r="M18" s="39">
        <v>2</v>
      </c>
      <c r="N18" t="s">
        <v>675</v>
      </c>
      <c r="AA18" s="85"/>
      <c r="BC18" s="39">
        <v>9</v>
      </c>
      <c r="BE18" s="39" t="s">
        <v>615</v>
      </c>
      <c r="BF18" s="39">
        <v>230</v>
      </c>
      <c r="BG18" s="39">
        <v>40</v>
      </c>
      <c r="BH18" s="39">
        <v>690</v>
      </c>
      <c r="BK18" s="51">
        <v>2.5</v>
      </c>
      <c r="BL18" s="51">
        <v>50</v>
      </c>
      <c r="BM18" s="51">
        <v>50</v>
      </c>
      <c r="BN18" s="51">
        <v>14</v>
      </c>
      <c r="BO18" s="51">
        <v>1</v>
      </c>
      <c r="BP18" s="51">
        <v>1</v>
      </c>
      <c r="BQ18" s="51"/>
      <c r="BR18" s="51"/>
      <c r="BS18" s="51"/>
      <c r="BT18" s="51"/>
      <c r="BU18" s="51">
        <v>1</v>
      </c>
      <c r="BV18" s="51"/>
      <c r="BW18" s="51"/>
      <c r="BY18" s="39" t="s">
        <v>615</v>
      </c>
      <c r="BZ18" s="51"/>
      <c r="CA18" s="51"/>
      <c r="CB18" s="39" t="s">
        <v>673</v>
      </c>
      <c r="CD18" s="39">
        <v>2.5</v>
      </c>
      <c r="CE18" s="39">
        <v>3.5</v>
      </c>
    </row>
    <row r="19" spans="3:83" x14ac:dyDescent="0.25">
      <c r="C19" s="40" t="s">
        <v>644</v>
      </c>
      <c r="D19" s="39" t="s">
        <v>161</v>
      </c>
      <c r="N19"/>
      <c r="T19" s="39" t="s">
        <v>617</v>
      </c>
      <c r="U19" s="39" t="s">
        <v>617</v>
      </c>
      <c r="V19" s="39" t="s">
        <v>618</v>
      </c>
      <c r="AA19" s="85"/>
      <c r="BK19" s="51"/>
      <c r="BL19" s="51"/>
      <c r="BM19" s="51"/>
      <c r="BN19" s="51"/>
      <c r="BO19" s="51"/>
      <c r="BP19" s="51"/>
    </row>
    <row r="20" spans="3:83" x14ac:dyDescent="0.25">
      <c r="C20" s="40" t="s">
        <v>644</v>
      </c>
      <c r="D20" s="39" t="s">
        <v>616</v>
      </c>
      <c r="N20"/>
      <c r="AA20" s="85"/>
      <c r="BK20" s="51"/>
      <c r="BL20" s="51"/>
      <c r="BM20" s="51"/>
      <c r="BN20" s="51"/>
      <c r="BO20" s="51"/>
      <c r="BP20" s="51"/>
    </row>
    <row r="21" spans="3:83" x14ac:dyDescent="0.25">
      <c r="C21" s="40"/>
      <c r="N21"/>
      <c r="AA21" s="85"/>
    </row>
    <row r="22" spans="3:83" x14ac:dyDescent="0.25">
      <c r="C22" s="39" t="s">
        <v>645</v>
      </c>
      <c r="D22" s="39" t="s">
        <v>612</v>
      </c>
      <c r="G22" s="39">
        <v>1</v>
      </c>
      <c r="J22" s="39">
        <v>1</v>
      </c>
      <c r="L22" s="39">
        <v>13</v>
      </c>
      <c r="M22" s="39">
        <v>3</v>
      </c>
      <c r="N22" t="s">
        <v>671</v>
      </c>
      <c r="AA22" s="85"/>
      <c r="BC22" s="39">
        <v>8</v>
      </c>
      <c r="BE22" s="39" t="s">
        <v>612</v>
      </c>
      <c r="BF22" s="39">
        <v>230</v>
      </c>
      <c r="BG22" s="39">
        <v>40</v>
      </c>
      <c r="BH22" s="39">
        <v>690</v>
      </c>
      <c r="BK22" s="51">
        <v>2.5</v>
      </c>
      <c r="BL22" s="51">
        <v>50</v>
      </c>
      <c r="BM22" s="51">
        <v>50</v>
      </c>
      <c r="BN22" s="51">
        <v>14</v>
      </c>
      <c r="BO22" s="51">
        <v>1</v>
      </c>
      <c r="BP22" s="51">
        <v>1</v>
      </c>
      <c r="BQ22" s="51"/>
      <c r="BR22" s="51"/>
      <c r="BS22" s="51"/>
      <c r="BT22" s="51"/>
      <c r="BU22" s="39">
        <v>1</v>
      </c>
      <c r="BY22" s="39" t="s">
        <v>612</v>
      </c>
      <c r="CB22" s="39" t="s">
        <v>673</v>
      </c>
      <c r="CD22" s="39">
        <v>2.5</v>
      </c>
      <c r="CE22" s="39">
        <v>3.5</v>
      </c>
    </row>
    <row r="23" spans="3:83" x14ac:dyDescent="0.25">
      <c r="C23" s="39" t="s">
        <v>645</v>
      </c>
      <c r="D23" s="39" t="s">
        <v>613</v>
      </c>
      <c r="G23" s="39">
        <v>2</v>
      </c>
      <c r="J23" s="39">
        <v>2</v>
      </c>
      <c r="L23" s="39">
        <v>13</v>
      </c>
      <c r="M23" s="39">
        <v>2</v>
      </c>
      <c r="N23" t="s">
        <v>672</v>
      </c>
      <c r="AA23" s="85"/>
      <c r="BC23" s="39">
        <v>9</v>
      </c>
      <c r="BE23" s="39" t="s">
        <v>613</v>
      </c>
      <c r="BF23" s="39">
        <v>230</v>
      </c>
      <c r="BG23" s="39">
        <v>40</v>
      </c>
      <c r="BH23" s="39">
        <v>690</v>
      </c>
      <c r="BK23" s="51">
        <v>2.5</v>
      </c>
      <c r="BL23" s="51">
        <v>50</v>
      </c>
      <c r="BM23" s="51">
        <v>50</v>
      </c>
      <c r="BN23" s="51">
        <v>14</v>
      </c>
      <c r="BO23" s="51">
        <v>1</v>
      </c>
      <c r="BP23" s="51">
        <v>1</v>
      </c>
      <c r="BQ23" s="51"/>
      <c r="BR23" s="51"/>
      <c r="BS23" s="51"/>
      <c r="BT23" s="51"/>
      <c r="BU23" s="51">
        <v>1</v>
      </c>
      <c r="BV23" s="51"/>
      <c r="BW23" s="51"/>
      <c r="BY23" s="39" t="s">
        <v>613</v>
      </c>
      <c r="BZ23" s="51"/>
      <c r="CA23" s="51"/>
      <c r="CB23" s="39" t="s">
        <v>673</v>
      </c>
      <c r="CD23" s="39">
        <v>2.5</v>
      </c>
      <c r="CE23" s="39">
        <v>3.5</v>
      </c>
    </row>
    <row r="24" spans="3:83" x14ac:dyDescent="0.25">
      <c r="C24" s="39" t="s">
        <v>645</v>
      </c>
      <c r="D24" s="39" t="s">
        <v>614</v>
      </c>
      <c r="G24" s="39">
        <v>3</v>
      </c>
      <c r="J24" s="39">
        <v>3</v>
      </c>
      <c r="L24" s="39">
        <v>13</v>
      </c>
      <c r="M24" s="39">
        <v>3</v>
      </c>
      <c r="N24" t="s">
        <v>674</v>
      </c>
      <c r="AA24" s="85"/>
      <c r="BC24" s="39">
        <v>8</v>
      </c>
      <c r="BE24" s="39" t="s">
        <v>614</v>
      </c>
      <c r="BF24" s="39">
        <v>230</v>
      </c>
      <c r="BG24" s="39">
        <v>40</v>
      </c>
      <c r="BH24" s="39">
        <v>690</v>
      </c>
      <c r="BK24" s="51">
        <v>2.5</v>
      </c>
      <c r="BL24" s="51">
        <v>50</v>
      </c>
      <c r="BM24" s="51">
        <v>50</v>
      </c>
      <c r="BN24" s="51">
        <v>14</v>
      </c>
      <c r="BO24" s="51">
        <v>1</v>
      </c>
      <c r="BP24" s="51">
        <v>1</v>
      </c>
      <c r="BQ24" s="51"/>
      <c r="BR24" s="51"/>
      <c r="BS24" s="51"/>
      <c r="BT24" s="51"/>
      <c r="BU24" s="39">
        <v>1</v>
      </c>
      <c r="BY24" s="39" t="s">
        <v>614</v>
      </c>
      <c r="CB24" s="39" t="s">
        <v>673</v>
      </c>
      <c r="CD24" s="39">
        <v>2.5</v>
      </c>
      <c r="CE24" s="39">
        <v>3.5</v>
      </c>
    </row>
    <row r="25" spans="3:83" x14ac:dyDescent="0.25">
      <c r="C25" s="39" t="s">
        <v>645</v>
      </c>
      <c r="D25" s="39" t="s">
        <v>615</v>
      </c>
      <c r="G25" s="39">
        <v>4</v>
      </c>
      <c r="J25" s="39">
        <v>4</v>
      </c>
      <c r="L25" s="39">
        <v>13</v>
      </c>
      <c r="M25" s="39">
        <v>2</v>
      </c>
      <c r="N25" t="s">
        <v>675</v>
      </c>
      <c r="AA25" s="85"/>
      <c r="BC25" s="39">
        <v>9</v>
      </c>
      <c r="BE25" s="39" t="s">
        <v>615</v>
      </c>
      <c r="BF25" s="39">
        <v>230</v>
      </c>
      <c r="BG25" s="39">
        <v>40</v>
      </c>
      <c r="BH25" s="39">
        <v>690</v>
      </c>
      <c r="BK25" s="51">
        <v>2.5</v>
      </c>
      <c r="BL25" s="51">
        <v>50</v>
      </c>
      <c r="BM25" s="51">
        <v>50</v>
      </c>
      <c r="BN25" s="51">
        <v>14</v>
      </c>
      <c r="BO25" s="51">
        <v>1</v>
      </c>
      <c r="BP25" s="51">
        <v>1</v>
      </c>
      <c r="BQ25" s="51"/>
      <c r="BR25" s="51"/>
      <c r="BS25" s="51"/>
      <c r="BT25" s="51"/>
      <c r="BU25" s="51">
        <v>1</v>
      </c>
      <c r="BV25" s="51"/>
      <c r="BW25" s="51"/>
      <c r="BY25" s="39" t="s">
        <v>615</v>
      </c>
      <c r="BZ25" s="51"/>
      <c r="CA25" s="51"/>
      <c r="CB25" s="39" t="s">
        <v>673</v>
      </c>
      <c r="CD25" s="39">
        <v>2.5</v>
      </c>
      <c r="CE25" s="39">
        <v>3.5</v>
      </c>
    </row>
    <row r="26" spans="3:83" x14ac:dyDescent="0.25">
      <c r="C26" s="39" t="s">
        <v>645</v>
      </c>
      <c r="D26" s="39" t="s">
        <v>667</v>
      </c>
      <c r="G26" s="39">
        <v>5</v>
      </c>
      <c r="J26" s="39">
        <v>5</v>
      </c>
      <c r="L26" s="39">
        <v>13</v>
      </c>
      <c r="M26" s="39">
        <v>3</v>
      </c>
      <c r="N26" t="s">
        <v>676</v>
      </c>
      <c r="AA26" s="85"/>
      <c r="BC26" s="39">
        <v>8</v>
      </c>
      <c r="BE26" s="39" t="s">
        <v>667</v>
      </c>
      <c r="BF26" s="39">
        <v>230</v>
      </c>
      <c r="BG26" s="39">
        <v>40</v>
      </c>
      <c r="BH26" s="39">
        <v>690</v>
      </c>
      <c r="BK26" s="51">
        <v>2.5</v>
      </c>
      <c r="BL26" s="51">
        <v>50</v>
      </c>
      <c r="BM26" s="51">
        <v>50</v>
      </c>
      <c r="BN26" s="51">
        <v>14</v>
      </c>
      <c r="BO26" s="51">
        <v>1</v>
      </c>
      <c r="BP26" s="51">
        <v>1</v>
      </c>
      <c r="BQ26" s="51"/>
      <c r="BR26" s="51"/>
      <c r="BS26" s="51"/>
      <c r="BT26" s="51"/>
      <c r="BU26" s="39">
        <v>1</v>
      </c>
      <c r="BY26" s="39" t="s">
        <v>667</v>
      </c>
      <c r="CB26" s="39" t="s">
        <v>673</v>
      </c>
      <c r="CD26" s="39">
        <v>2.5</v>
      </c>
      <c r="CE26" s="39">
        <v>3.5</v>
      </c>
    </row>
    <row r="27" spans="3:83" x14ac:dyDescent="0.25">
      <c r="C27" s="39" t="s">
        <v>645</v>
      </c>
      <c r="D27" s="39" t="s">
        <v>668</v>
      </c>
      <c r="G27" s="39">
        <v>6</v>
      </c>
      <c r="J27" s="39">
        <v>6</v>
      </c>
      <c r="L27" s="39">
        <v>13</v>
      </c>
      <c r="M27" s="39">
        <v>2</v>
      </c>
      <c r="N27" t="s">
        <v>677</v>
      </c>
      <c r="AA27" s="85"/>
      <c r="BC27" s="39">
        <v>9</v>
      </c>
      <c r="BE27" s="39" t="s">
        <v>668</v>
      </c>
      <c r="BF27" s="39">
        <v>230</v>
      </c>
      <c r="BG27" s="39">
        <v>40</v>
      </c>
      <c r="BH27" s="39">
        <v>690</v>
      </c>
      <c r="BK27" s="51">
        <v>2.5</v>
      </c>
      <c r="BL27" s="51">
        <v>50</v>
      </c>
      <c r="BM27" s="51">
        <v>50</v>
      </c>
      <c r="BN27" s="51">
        <v>14</v>
      </c>
      <c r="BO27" s="51">
        <v>1</v>
      </c>
      <c r="BP27" s="51">
        <v>1</v>
      </c>
      <c r="BQ27" s="51"/>
      <c r="BR27" s="51"/>
      <c r="BS27" s="51"/>
      <c r="BT27" s="51"/>
      <c r="BU27" s="51">
        <v>1</v>
      </c>
      <c r="BV27" s="51"/>
      <c r="BW27" s="51"/>
      <c r="BY27" s="39" t="s">
        <v>668</v>
      </c>
      <c r="BZ27" s="51"/>
      <c r="CA27" s="51"/>
      <c r="CB27" s="39" t="s">
        <v>673</v>
      </c>
      <c r="CD27" s="39">
        <v>2.5</v>
      </c>
      <c r="CE27" s="39">
        <v>3.5</v>
      </c>
    </row>
    <row r="28" spans="3:83" x14ac:dyDescent="0.25">
      <c r="C28" s="39" t="s">
        <v>645</v>
      </c>
      <c r="D28" s="39" t="s">
        <v>161</v>
      </c>
      <c r="N28"/>
      <c r="T28" s="39" t="s">
        <v>617</v>
      </c>
      <c r="U28" s="39" t="s">
        <v>617</v>
      </c>
      <c r="V28" s="39" t="s">
        <v>618</v>
      </c>
      <c r="AA28" s="85"/>
      <c r="BK28" s="51"/>
      <c r="BL28" s="51"/>
      <c r="BM28" s="51"/>
      <c r="BN28" s="51"/>
      <c r="BO28" s="51"/>
      <c r="BP28" s="51"/>
    </row>
    <row r="29" spans="3:83" x14ac:dyDescent="0.25">
      <c r="C29" s="39" t="s">
        <v>645</v>
      </c>
      <c r="D29" s="39" t="s">
        <v>616</v>
      </c>
      <c r="N29"/>
      <c r="AA29" s="85"/>
      <c r="BK29" s="51"/>
      <c r="BL29" s="51"/>
      <c r="BM29" s="51"/>
      <c r="BN29" s="51"/>
      <c r="BO29" s="51"/>
      <c r="BP29" s="51"/>
    </row>
    <row r="30" spans="3:83" x14ac:dyDescent="0.25">
      <c r="N30"/>
    </row>
    <row r="31" spans="3:83" x14ac:dyDescent="0.25">
      <c r="C31" s="39" t="s">
        <v>646</v>
      </c>
      <c r="D31" s="39" t="s">
        <v>612</v>
      </c>
      <c r="G31" s="39">
        <v>1</v>
      </c>
      <c r="J31" s="39">
        <v>1</v>
      </c>
      <c r="L31" s="39">
        <v>13</v>
      </c>
      <c r="M31" s="39">
        <v>3</v>
      </c>
      <c r="N31" t="s">
        <v>671</v>
      </c>
      <c r="AA31" s="85"/>
      <c r="BC31" s="39">
        <v>8</v>
      </c>
      <c r="BE31" s="39" t="s">
        <v>612</v>
      </c>
      <c r="BF31" s="39">
        <v>230</v>
      </c>
      <c r="BG31" s="39">
        <v>40</v>
      </c>
      <c r="BH31" s="39">
        <v>690</v>
      </c>
      <c r="BK31" s="51">
        <v>2.5</v>
      </c>
      <c r="BL31" s="51">
        <v>50</v>
      </c>
      <c r="BM31" s="51">
        <v>50</v>
      </c>
      <c r="BN31" s="51">
        <v>14</v>
      </c>
      <c r="BO31" s="51">
        <v>1</v>
      </c>
      <c r="BP31" s="51">
        <v>1</v>
      </c>
      <c r="BQ31" s="51"/>
      <c r="BR31" s="51"/>
      <c r="BS31" s="51"/>
      <c r="BT31" s="51"/>
      <c r="BU31" s="39">
        <v>1</v>
      </c>
      <c r="BY31" s="39" t="s">
        <v>612</v>
      </c>
      <c r="CB31" s="39" t="s">
        <v>673</v>
      </c>
      <c r="CD31" s="39">
        <v>2.5</v>
      </c>
      <c r="CE31" s="39">
        <v>3.5</v>
      </c>
    </row>
    <row r="32" spans="3:83" x14ac:dyDescent="0.25">
      <c r="C32" s="39" t="s">
        <v>646</v>
      </c>
      <c r="D32" s="39" t="s">
        <v>613</v>
      </c>
      <c r="G32" s="39">
        <v>2</v>
      </c>
      <c r="J32" s="39">
        <v>2</v>
      </c>
      <c r="L32" s="39">
        <v>13</v>
      </c>
      <c r="M32" s="39">
        <v>2</v>
      </c>
      <c r="N32" t="s">
        <v>672</v>
      </c>
      <c r="AA32" s="85"/>
      <c r="BC32" s="39">
        <v>9</v>
      </c>
      <c r="BE32" s="39" t="s">
        <v>613</v>
      </c>
      <c r="BF32" s="39">
        <v>230</v>
      </c>
      <c r="BG32" s="39">
        <v>40</v>
      </c>
      <c r="BH32" s="39">
        <v>690</v>
      </c>
      <c r="BK32" s="51">
        <v>2.5</v>
      </c>
      <c r="BL32" s="51">
        <v>50</v>
      </c>
      <c r="BM32" s="51">
        <v>50</v>
      </c>
      <c r="BN32" s="51">
        <v>14</v>
      </c>
      <c r="BO32" s="51">
        <v>1</v>
      </c>
      <c r="BP32" s="51">
        <v>1</v>
      </c>
      <c r="BQ32" s="51"/>
      <c r="BR32" s="51"/>
      <c r="BS32" s="51"/>
      <c r="BT32" s="51"/>
      <c r="BU32" s="51">
        <v>1</v>
      </c>
      <c r="BV32" s="51"/>
      <c r="BW32" s="51"/>
      <c r="BY32" s="39" t="s">
        <v>613</v>
      </c>
      <c r="BZ32" s="51"/>
      <c r="CA32" s="51"/>
      <c r="CB32" s="39" t="s">
        <v>673</v>
      </c>
      <c r="CD32" s="39">
        <v>2.5</v>
      </c>
      <c r="CE32" s="39">
        <v>3.5</v>
      </c>
    </row>
    <row r="33" spans="3:83" x14ac:dyDescent="0.25">
      <c r="C33" s="39" t="s">
        <v>646</v>
      </c>
      <c r="D33" s="39" t="s">
        <v>614</v>
      </c>
      <c r="G33" s="39">
        <v>3</v>
      </c>
      <c r="J33" s="39">
        <v>3</v>
      </c>
      <c r="L33" s="39">
        <v>13</v>
      </c>
      <c r="M33" s="39">
        <v>3</v>
      </c>
      <c r="N33" t="s">
        <v>674</v>
      </c>
      <c r="AA33" s="85"/>
      <c r="BC33" s="39">
        <v>8</v>
      </c>
      <c r="BE33" s="39" t="s">
        <v>614</v>
      </c>
      <c r="BF33" s="39">
        <v>230</v>
      </c>
      <c r="BG33" s="39">
        <v>40</v>
      </c>
      <c r="BH33" s="39">
        <v>690</v>
      </c>
      <c r="BK33" s="51">
        <v>2.5</v>
      </c>
      <c r="BL33" s="51">
        <v>50</v>
      </c>
      <c r="BM33" s="51">
        <v>50</v>
      </c>
      <c r="BN33" s="51">
        <v>14</v>
      </c>
      <c r="BO33" s="51">
        <v>1</v>
      </c>
      <c r="BP33" s="51">
        <v>1</v>
      </c>
      <c r="BQ33" s="51"/>
      <c r="BR33" s="51"/>
      <c r="BS33" s="51"/>
      <c r="BT33" s="51"/>
      <c r="BU33" s="39">
        <v>1</v>
      </c>
      <c r="BY33" s="39" t="s">
        <v>614</v>
      </c>
      <c r="CB33" s="39" t="s">
        <v>673</v>
      </c>
      <c r="CD33" s="39">
        <v>2.5</v>
      </c>
      <c r="CE33" s="39">
        <v>3.5</v>
      </c>
    </row>
    <row r="34" spans="3:83" x14ac:dyDescent="0.25">
      <c r="C34" s="39" t="s">
        <v>646</v>
      </c>
      <c r="D34" s="39" t="s">
        <v>615</v>
      </c>
      <c r="G34" s="39">
        <v>4</v>
      </c>
      <c r="J34" s="39">
        <v>4</v>
      </c>
      <c r="L34" s="39">
        <v>13</v>
      </c>
      <c r="M34" s="39">
        <v>2</v>
      </c>
      <c r="N34" t="s">
        <v>675</v>
      </c>
      <c r="AA34" s="85"/>
      <c r="BC34" s="39">
        <v>9</v>
      </c>
      <c r="BE34" s="39" t="s">
        <v>615</v>
      </c>
      <c r="BF34" s="39">
        <v>230</v>
      </c>
      <c r="BG34" s="39">
        <v>40</v>
      </c>
      <c r="BH34" s="39">
        <v>690</v>
      </c>
      <c r="BK34" s="51">
        <v>2.5</v>
      </c>
      <c r="BL34" s="51">
        <v>50</v>
      </c>
      <c r="BM34" s="51">
        <v>50</v>
      </c>
      <c r="BN34" s="51">
        <v>14</v>
      </c>
      <c r="BO34" s="51">
        <v>1</v>
      </c>
      <c r="BP34" s="51">
        <v>1</v>
      </c>
      <c r="BQ34" s="51"/>
      <c r="BR34" s="51"/>
      <c r="BS34" s="51"/>
      <c r="BT34" s="51"/>
      <c r="BU34" s="51">
        <v>1</v>
      </c>
      <c r="BV34" s="51"/>
      <c r="BW34" s="51"/>
      <c r="BY34" s="39" t="s">
        <v>615</v>
      </c>
      <c r="BZ34" s="51"/>
      <c r="CA34" s="51"/>
      <c r="CB34" s="39" t="s">
        <v>673</v>
      </c>
      <c r="CD34" s="39">
        <v>2.5</v>
      </c>
      <c r="CE34" s="39">
        <v>3.5</v>
      </c>
    </row>
    <row r="35" spans="3:83" x14ac:dyDescent="0.25">
      <c r="C35" s="39" t="s">
        <v>646</v>
      </c>
      <c r="D35" s="39" t="s">
        <v>667</v>
      </c>
      <c r="G35" s="39">
        <v>5</v>
      </c>
      <c r="J35" s="39">
        <v>5</v>
      </c>
      <c r="L35" s="39">
        <v>13</v>
      </c>
      <c r="M35" s="39">
        <v>3</v>
      </c>
      <c r="N35" t="s">
        <v>676</v>
      </c>
      <c r="AA35" s="85"/>
      <c r="BC35" s="39">
        <v>8</v>
      </c>
      <c r="BE35" s="39" t="s">
        <v>667</v>
      </c>
      <c r="BF35" s="39">
        <v>230</v>
      </c>
      <c r="BG35" s="39">
        <v>40</v>
      </c>
      <c r="BH35" s="39">
        <v>690</v>
      </c>
      <c r="BK35" s="51">
        <v>2.5</v>
      </c>
      <c r="BL35" s="51">
        <v>50</v>
      </c>
      <c r="BM35" s="51">
        <v>50</v>
      </c>
      <c r="BN35" s="51">
        <v>14</v>
      </c>
      <c r="BO35" s="51">
        <v>1</v>
      </c>
      <c r="BP35" s="51">
        <v>1</v>
      </c>
      <c r="BQ35" s="51"/>
      <c r="BR35" s="51"/>
      <c r="BS35" s="51"/>
      <c r="BT35" s="51"/>
      <c r="BU35" s="39">
        <v>1</v>
      </c>
      <c r="BY35" s="39" t="s">
        <v>667</v>
      </c>
      <c r="CB35" s="39" t="s">
        <v>673</v>
      </c>
      <c r="CD35" s="39">
        <v>2.5</v>
      </c>
      <c r="CE35" s="39">
        <v>3.5</v>
      </c>
    </row>
    <row r="36" spans="3:83" x14ac:dyDescent="0.25">
      <c r="C36" s="39" t="s">
        <v>646</v>
      </c>
      <c r="D36" s="39" t="s">
        <v>668</v>
      </c>
      <c r="G36" s="39">
        <v>6</v>
      </c>
      <c r="J36" s="39">
        <v>6</v>
      </c>
      <c r="L36" s="39">
        <v>13</v>
      </c>
      <c r="M36" s="39">
        <v>2</v>
      </c>
      <c r="N36" t="s">
        <v>677</v>
      </c>
      <c r="AA36" s="85"/>
      <c r="BC36" s="39">
        <v>9</v>
      </c>
      <c r="BE36" s="39" t="s">
        <v>668</v>
      </c>
      <c r="BF36" s="39">
        <v>230</v>
      </c>
      <c r="BG36" s="39">
        <v>40</v>
      </c>
      <c r="BH36" s="39">
        <v>690</v>
      </c>
      <c r="BK36" s="51">
        <v>2.5</v>
      </c>
      <c r="BL36" s="51">
        <v>50</v>
      </c>
      <c r="BM36" s="51">
        <v>50</v>
      </c>
      <c r="BN36" s="51">
        <v>14</v>
      </c>
      <c r="BO36" s="51">
        <v>1</v>
      </c>
      <c r="BP36" s="51">
        <v>1</v>
      </c>
      <c r="BQ36" s="51"/>
      <c r="BR36" s="51"/>
      <c r="BS36" s="51"/>
      <c r="BT36" s="51"/>
      <c r="BU36" s="51">
        <v>1</v>
      </c>
      <c r="BV36" s="51"/>
      <c r="BW36" s="51"/>
      <c r="BY36" s="39" t="s">
        <v>668</v>
      </c>
      <c r="BZ36" s="51"/>
      <c r="CA36" s="51"/>
      <c r="CB36" s="39" t="s">
        <v>673</v>
      </c>
      <c r="CD36" s="39">
        <v>2.5</v>
      </c>
      <c r="CE36" s="39">
        <v>3.5</v>
      </c>
    </row>
    <row r="37" spans="3:83" x14ac:dyDescent="0.25">
      <c r="C37" s="39" t="s">
        <v>646</v>
      </c>
      <c r="D37" s="39" t="s">
        <v>669</v>
      </c>
      <c r="G37" s="39">
        <v>7</v>
      </c>
      <c r="J37" s="39">
        <v>7</v>
      </c>
      <c r="L37" s="39">
        <v>13</v>
      </c>
      <c r="M37" s="39">
        <v>3</v>
      </c>
      <c r="N37" t="s">
        <v>678</v>
      </c>
      <c r="AA37" s="85"/>
      <c r="BC37" s="39">
        <v>8</v>
      </c>
      <c r="BE37" s="39" t="s">
        <v>669</v>
      </c>
      <c r="BF37" s="39">
        <v>230</v>
      </c>
      <c r="BG37" s="39">
        <v>40</v>
      </c>
      <c r="BH37" s="39">
        <v>690</v>
      </c>
      <c r="BK37" s="51">
        <v>2.5</v>
      </c>
      <c r="BL37" s="51">
        <v>50</v>
      </c>
      <c r="BM37" s="51">
        <v>50</v>
      </c>
      <c r="BN37" s="51">
        <v>14</v>
      </c>
      <c r="BO37" s="51">
        <v>1</v>
      </c>
      <c r="BP37" s="51">
        <v>1</v>
      </c>
      <c r="BQ37" s="51"/>
      <c r="BR37" s="51"/>
      <c r="BS37" s="51"/>
      <c r="BT37" s="51"/>
      <c r="BU37" s="39">
        <v>1</v>
      </c>
      <c r="BY37" s="39" t="s">
        <v>669</v>
      </c>
      <c r="CB37" s="39" t="s">
        <v>673</v>
      </c>
      <c r="CD37" s="39">
        <v>2.5</v>
      </c>
      <c r="CE37" s="39">
        <v>3.5</v>
      </c>
    </row>
    <row r="38" spans="3:83" x14ac:dyDescent="0.25">
      <c r="C38" s="39" t="s">
        <v>646</v>
      </c>
      <c r="D38" s="39" t="s">
        <v>670</v>
      </c>
      <c r="G38" s="39">
        <v>8</v>
      </c>
      <c r="J38" s="39">
        <v>8</v>
      </c>
      <c r="L38" s="39">
        <v>13</v>
      </c>
      <c r="M38" s="39">
        <v>2</v>
      </c>
      <c r="N38" t="s">
        <v>679</v>
      </c>
      <c r="AA38" s="85"/>
      <c r="BC38" s="39">
        <v>9</v>
      </c>
      <c r="BE38" s="39" t="s">
        <v>670</v>
      </c>
      <c r="BF38" s="39">
        <v>230</v>
      </c>
      <c r="BG38" s="39">
        <v>40</v>
      </c>
      <c r="BH38" s="39">
        <v>690</v>
      </c>
      <c r="BK38" s="51">
        <v>2.5</v>
      </c>
      <c r="BL38" s="51">
        <v>50</v>
      </c>
      <c r="BM38" s="51">
        <v>50</v>
      </c>
      <c r="BN38" s="51">
        <v>14</v>
      </c>
      <c r="BO38" s="51">
        <v>1</v>
      </c>
      <c r="BP38" s="51">
        <v>1</v>
      </c>
      <c r="BQ38" s="51"/>
      <c r="BR38" s="51"/>
      <c r="BS38" s="51"/>
      <c r="BT38" s="51"/>
      <c r="BU38" s="51">
        <v>1</v>
      </c>
      <c r="BV38" s="51"/>
      <c r="BW38" s="51"/>
      <c r="BY38" s="39" t="s">
        <v>670</v>
      </c>
      <c r="BZ38" s="51"/>
      <c r="CA38" s="51"/>
      <c r="CB38" s="39" t="s">
        <v>673</v>
      </c>
      <c r="CD38" s="39">
        <v>2.5</v>
      </c>
      <c r="CE38" s="39">
        <v>3.5</v>
      </c>
    </row>
    <row r="39" spans="3:83" x14ac:dyDescent="0.25">
      <c r="C39" s="39" t="s">
        <v>646</v>
      </c>
      <c r="D39" s="39" t="s">
        <v>161</v>
      </c>
      <c r="N39"/>
      <c r="T39" s="39" t="s">
        <v>617</v>
      </c>
      <c r="U39" s="39" t="s">
        <v>617</v>
      </c>
      <c r="V39" s="39" t="s">
        <v>618</v>
      </c>
      <c r="AA39" s="85"/>
      <c r="BK39" s="51"/>
      <c r="BL39" s="51"/>
      <c r="BM39" s="51"/>
      <c r="BN39" s="51"/>
      <c r="BO39" s="51"/>
      <c r="BP39" s="51"/>
    </row>
    <row r="40" spans="3:83" x14ac:dyDescent="0.25">
      <c r="C40" s="39" t="s">
        <v>646</v>
      </c>
      <c r="D40" s="39" t="s">
        <v>616</v>
      </c>
      <c r="N40"/>
      <c r="AA40" s="85"/>
      <c r="BK40" s="51"/>
      <c r="BL40" s="51"/>
      <c r="BM40" s="51"/>
      <c r="BN40" s="51"/>
      <c r="BO40" s="51"/>
      <c r="BP40" s="51"/>
    </row>
    <row r="41" spans="3:83" x14ac:dyDescent="0.25">
      <c r="N41"/>
      <c r="AA41" s="85"/>
      <c r="BK41" s="51"/>
      <c r="BL41" s="51"/>
      <c r="BM41" s="51"/>
      <c r="BN41" s="51"/>
      <c r="BO41" s="51"/>
      <c r="BP41" s="51"/>
    </row>
    <row r="42" spans="3:83" x14ac:dyDescent="0.25">
      <c r="C42" s="39" t="s">
        <v>647</v>
      </c>
      <c r="D42" s="39" t="s">
        <v>612</v>
      </c>
      <c r="G42" s="39">
        <v>1</v>
      </c>
      <c r="J42" s="39">
        <v>1</v>
      </c>
      <c r="L42" s="39">
        <v>13</v>
      </c>
      <c r="M42" s="39">
        <v>3</v>
      </c>
      <c r="N42" t="s">
        <v>671</v>
      </c>
      <c r="AA42" s="85"/>
      <c r="BC42" s="39">
        <v>8</v>
      </c>
      <c r="BE42" s="39" t="s">
        <v>612</v>
      </c>
      <c r="BF42" s="39">
        <v>230</v>
      </c>
      <c r="BG42" s="39">
        <v>63</v>
      </c>
      <c r="BH42" s="39">
        <v>690</v>
      </c>
      <c r="BK42" s="51">
        <v>2.5</v>
      </c>
      <c r="BL42" s="51">
        <v>50</v>
      </c>
      <c r="BM42" s="51">
        <v>50</v>
      </c>
      <c r="BN42" s="51">
        <v>14</v>
      </c>
      <c r="BO42" s="51">
        <v>1</v>
      </c>
      <c r="BP42" s="51">
        <v>1</v>
      </c>
      <c r="BQ42" s="51"/>
      <c r="BR42" s="51"/>
      <c r="BS42" s="51"/>
      <c r="BT42" s="51"/>
      <c r="BU42" s="39">
        <v>1</v>
      </c>
      <c r="BY42" s="39" t="s">
        <v>612</v>
      </c>
      <c r="CB42" s="39" t="s">
        <v>673</v>
      </c>
      <c r="CD42" s="39">
        <v>2.5</v>
      </c>
      <c r="CE42" s="39">
        <v>3.5</v>
      </c>
    </row>
    <row r="43" spans="3:83" x14ac:dyDescent="0.25">
      <c r="C43" s="39" t="s">
        <v>647</v>
      </c>
      <c r="D43" s="39" t="s">
        <v>613</v>
      </c>
      <c r="G43" s="39">
        <v>2</v>
      </c>
      <c r="J43" s="39">
        <v>2</v>
      </c>
      <c r="L43" s="39">
        <v>13</v>
      </c>
      <c r="M43" s="39">
        <v>2</v>
      </c>
      <c r="N43" t="s">
        <v>672</v>
      </c>
      <c r="AA43" s="85"/>
      <c r="BC43" s="39">
        <v>9</v>
      </c>
      <c r="BE43" s="39" t="s">
        <v>613</v>
      </c>
      <c r="BF43" s="39">
        <v>230</v>
      </c>
      <c r="BG43" s="39">
        <v>63</v>
      </c>
      <c r="BH43" s="39">
        <v>690</v>
      </c>
      <c r="BK43" s="51">
        <v>2.5</v>
      </c>
      <c r="BL43" s="51">
        <v>50</v>
      </c>
      <c r="BM43" s="51">
        <v>50</v>
      </c>
      <c r="BN43" s="51">
        <v>14</v>
      </c>
      <c r="BO43" s="51">
        <v>1</v>
      </c>
      <c r="BP43" s="51">
        <v>1</v>
      </c>
      <c r="BQ43" s="51"/>
      <c r="BR43" s="51"/>
      <c r="BS43" s="51"/>
      <c r="BT43" s="51"/>
      <c r="BU43" s="51">
        <v>1</v>
      </c>
      <c r="BV43" s="51"/>
      <c r="BW43" s="51"/>
      <c r="BY43" s="39" t="s">
        <v>613</v>
      </c>
      <c r="BZ43" s="51"/>
      <c r="CA43" s="51"/>
      <c r="CB43" s="39" t="s">
        <v>673</v>
      </c>
      <c r="CD43" s="39">
        <v>2.5</v>
      </c>
      <c r="CE43" s="39">
        <v>3.5</v>
      </c>
    </row>
    <row r="44" spans="3:83" x14ac:dyDescent="0.25">
      <c r="C44" s="39" t="s">
        <v>647</v>
      </c>
      <c r="D44" s="39" t="s">
        <v>161</v>
      </c>
      <c r="N44"/>
      <c r="T44" s="39" t="s">
        <v>617</v>
      </c>
      <c r="U44" s="39" t="s">
        <v>617</v>
      </c>
      <c r="V44" s="39" t="s">
        <v>618</v>
      </c>
      <c r="AA44" s="85"/>
      <c r="BK44" s="51"/>
      <c r="BL44" s="51"/>
      <c r="BM44" s="51"/>
      <c r="BN44" s="51"/>
      <c r="BO44" s="51"/>
      <c r="BP44" s="51"/>
    </row>
    <row r="45" spans="3:83" x14ac:dyDescent="0.25">
      <c r="C45" s="39" t="s">
        <v>647</v>
      </c>
      <c r="D45" s="39" t="s">
        <v>616</v>
      </c>
      <c r="N45"/>
      <c r="AA45" s="85"/>
      <c r="BK45" s="51"/>
      <c r="BL45" s="51"/>
      <c r="BM45" s="51"/>
      <c r="BN45" s="51"/>
      <c r="BO45" s="51"/>
      <c r="BP45" s="51"/>
    </row>
    <row r="46" spans="3:83" x14ac:dyDescent="0.25">
      <c r="N46"/>
      <c r="AA46" s="85"/>
    </row>
    <row r="47" spans="3:83" x14ac:dyDescent="0.25">
      <c r="C47" s="39" t="s">
        <v>648</v>
      </c>
      <c r="D47" s="39" t="s">
        <v>612</v>
      </c>
      <c r="G47" s="39">
        <v>1</v>
      </c>
      <c r="J47" s="39">
        <v>1</v>
      </c>
      <c r="L47" s="39">
        <v>13</v>
      </c>
      <c r="M47" s="39">
        <v>3</v>
      </c>
      <c r="N47" t="s">
        <v>671</v>
      </c>
      <c r="AA47" s="85"/>
      <c r="BC47" s="39">
        <v>8</v>
      </c>
      <c r="BE47" s="39" t="s">
        <v>612</v>
      </c>
      <c r="BF47" s="39">
        <v>230</v>
      </c>
      <c r="BG47" s="39">
        <v>63</v>
      </c>
      <c r="BH47" s="39">
        <v>690</v>
      </c>
      <c r="BK47" s="51">
        <v>2.5</v>
      </c>
      <c r="BL47" s="51">
        <v>50</v>
      </c>
      <c r="BM47" s="51">
        <v>50</v>
      </c>
      <c r="BN47" s="51">
        <v>14</v>
      </c>
      <c r="BO47" s="51">
        <v>1</v>
      </c>
      <c r="BP47" s="51">
        <v>1</v>
      </c>
      <c r="BQ47" s="51"/>
      <c r="BR47" s="51"/>
      <c r="BS47" s="51"/>
      <c r="BT47" s="51"/>
      <c r="BU47" s="39">
        <v>1</v>
      </c>
      <c r="BY47" s="39" t="s">
        <v>612</v>
      </c>
      <c r="CB47" s="39" t="s">
        <v>673</v>
      </c>
      <c r="CD47" s="39">
        <v>2.5</v>
      </c>
      <c r="CE47" s="39">
        <v>3.5</v>
      </c>
    </row>
    <row r="48" spans="3:83" x14ac:dyDescent="0.25">
      <c r="C48" s="39" t="s">
        <v>648</v>
      </c>
      <c r="D48" s="39" t="s">
        <v>613</v>
      </c>
      <c r="G48" s="39">
        <v>2</v>
      </c>
      <c r="J48" s="39">
        <v>2</v>
      </c>
      <c r="L48" s="39">
        <v>13</v>
      </c>
      <c r="M48" s="39">
        <v>2</v>
      </c>
      <c r="N48" t="s">
        <v>672</v>
      </c>
      <c r="AA48" s="85"/>
      <c r="BC48" s="39">
        <v>9</v>
      </c>
      <c r="BE48" s="39" t="s">
        <v>613</v>
      </c>
      <c r="BF48" s="39">
        <v>230</v>
      </c>
      <c r="BG48" s="39">
        <v>63</v>
      </c>
      <c r="BH48" s="39">
        <v>690</v>
      </c>
      <c r="BK48" s="51">
        <v>2.5</v>
      </c>
      <c r="BL48" s="51">
        <v>50</v>
      </c>
      <c r="BM48" s="51">
        <v>50</v>
      </c>
      <c r="BN48" s="51">
        <v>14</v>
      </c>
      <c r="BO48" s="51">
        <v>1</v>
      </c>
      <c r="BP48" s="51">
        <v>1</v>
      </c>
      <c r="BQ48" s="51"/>
      <c r="BR48" s="51"/>
      <c r="BS48" s="51"/>
      <c r="BT48" s="51"/>
      <c r="BU48" s="51">
        <v>1</v>
      </c>
      <c r="BV48" s="51"/>
      <c r="BW48" s="51"/>
      <c r="BY48" s="39" t="s">
        <v>613</v>
      </c>
      <c r="BZ48" s="51"/>
      <c r="CA48" s="51"/>
      <c r="CB48" s="39" t="s">
        <v>673</v>
      </c>
      <c r="CD48" s="39">
        <v>2.5</v>
      </c>
      <c r="CE48" s="39">
        <v>3.5</v>
      </c>
    </row>
    <row r="49" spans="3:83" x14ac:dyDescent="0.25">
      <c r="C49" s="39" t="s">
        <v>648</v>
      </c>
      <c r="D49" s="39" t="s">
        <v>614</v>
      </c>
      <c r="G49" s="39">
        <v>3</v>
      </c>
      <c r="J49" s="39">
        <v>3</v>
      </c>
      <c r="L49" s="39">
        <v>13</v>
      </c>
      <c r="M49" s="39">
        <v>3</v>
      </c>
      <c r="N49" t="s">
        <v>674</v>
      </c>
      <c r="AA49" s="85"/>
      <c r="BC49" s="39">
        <v>8</v>
      </c>
      <c r="BE49" s="39" t="s">
        <v>614</v>
      </c>
      <c r="BF49" s="39">
        <v>230</v>
      </c>
      <c r="BG49" s="39">
        <v>63</v>
      </c>
      <c r="BH49" s="39">
        <v>690</v>
      </c>
      <c r="BK49" s="51">
        <v>2.5</v>
      </c>
      <c r="BL49" s="51">
        <v>50</v>
      </c>
      <c r="BM49" s="51">
        <v>50</v>
      </c>
      <c r="BN49" s="51">
        <v>14</v>
      </c>
      <c r="BO49" s="51">
        <v>1</v>
      </c>
      <c r="BP49" s="51">
        <v>1</v>
      </c>
      <c r="BQ49" s="51"/>
      <c r="BR49" s="51"/>
      <c r="BS49" s="51"/>
      <c r="BT49" s="51"/>
      <c r="BU49" s="39">
        <v>1</v>
      </c>
      <c r="BY49" s="39" t="s">
        <v>614</v>
      </c>
      <c r="CB49" s="39" t="s">
        <v>673</v>
      </c>
      <c r="CD49" s="39">
        <v>2.5</v>
      </c>
      <c r="CE49" s="39">
        <v>3.5</v>
      </c>
    </row>
    <row r="50" spans="3:83" x14ac:dyDescent="0.25">
      <c r="C50" s="39" t="s">
        <v>648</v>
      </c>
      <c r="D50" s="39" t="s">
        <v>615</v>
      </c>
      <c r="G50" s="39">
        <v>4</v>
      </c>
      <c r="J50" s="39">
        <v>4</v>
      </c>
      <c r="L50" s="39">
        <v>13</v>
      </c>
      <c r="M50" s="39">
        <v>2</v>
      </c>
      <c r="N50" t="s">
        <v>675</v>
      </c>
      <c r="AA50" s="85"/>
      <c r="BC50" s="39">
        <v>9</v>
      </c>
      <c r="BE50" s="39" t="s">
        <v>615</v>
      </c>
      <c r="BF50" s="39">
        <v>230</v>
      </c>
      <c r="BG50" s="39">
        <v>63</v>
      </c>
      <c r="BH50" s="39">
        <v>690</v>
      </c>
      <c r="BK50" s="51">
        <v>2.5</v>
      </c>
      <c r="BL50" s="51">
        <v>50</v>
      </c>
      <c r="BM50" s="51">
        <v>50</v>
      </c>
      <c r="BN50" s="51">
        <v>14</v>
      </c>
      <c r="BO50" s="51">
        <v>1</v>
      </c>
      <c r="BP50" s="51">
        <v>1</v>
      </c>
      <c r="BQ50" s="51"/>
      <c r="BR50" s="51"/>
      <c r="BS50" s="51"/>
      <c r="BT50" s="51"/>
      <c r="BU50" s="51">
        <v>1</v>
      </c>
      <c r="BV50" s="51"/>
      <c r="BW50" s="51"/>
      <c r="BY50" s="39" t="s">
        <v>615</v>
      </c>
      <c r="BZ50" s="51"/>
      <c r="CA50" s="51"/>
      <c r="CB50" s="39" t="s">
        <v>673</v>
      </c>
      <c r="CD50" s="39">
        <v>2.5</v>
      </c>
      <c r="CE50" s="39">
        <v>3.5</v>
      </c>
    </row>
    <row r="51" spans="3:83" x14ac:dyDescent="0.25">
      <c r="C51" s="39" t="s">
        <v>648</v>
      </c>
      <c r="D51" s="39" t="s">
        <v>161</v>
      </c>
      <c r="N51"/>
      <c r="T51" s="39" t="s">
        <v>617</v>
      </c>
      <c r="U51" s="39" t="s">
        <v>617</v>
      </c>
      <c r="V51" s="39" t="s">
        <v>618</v>
      </c>
      <c r="AA51" s="85"/>
      <c r="BK51" s="51"/>
      <c r="BL51" s="51"/>
      <c r="BM51" s="51"/>
      <c r="BN51" s="51"/>
      <c r="BO51" s="51"/>
      <c r="BP51" s="51"/>
    </row>
    <row r="52" spans="3:83" x14ac:dyDescent="0.25">
      <c r="C52" s="39" t="s">
        <v>648</v>
      </c>
      <c r="D52" s="39" t="s">
        <v>616</v>
      </c>
      <c r="N52"/>
      <c r="AA52" s="85"/>
      <c r="BK52" s="51"/>
      <c r="BL52" s="51"/>
      <c r="BM52" s="51"/>
      <c r="BN52" s="51"/>
      <c r="BO52" s="51"/>
      <c r="BP52" s="51"/>
    </row>
    <row r="53" spans="3:83" x14ac:dyDescent="0.25">
      <c r="C53" s="40"/>
      <c r="N53"/>
      <c r="AA53" s="85"/>
    </row>
    <row r="54" spans="3:83" x14ac:dyDescent="0.25">
      <c r="C54" s="39" t="s">
        <v>649</v>
      </c>
      <c r="D54" s="39" t="s">
        <v>612</v>
      </c>
      <c r="G54" s="39">
        <v>1</v>
      </c>
      <c r="J54" s="39">
        <v>1</v>
      </c>
      <c r="L54" s="39">
        <v>13</v>
      </c>
      <c r="M54" s="39">
        <v>3</v>
      </c>
      <c r="N54" t="s">
        <v>671</v>
      </c>
      <c r="AA54" s="85"/>
      <c r="BC54" s="39">
        <v>8</v>
      </c>
      <c r="BE54" s="39" t="s">
        <v>612</v>
      </c>
      <c r="BF54" s="39">
        <v>230</v>
      </c>
      <c r="BG54" s="39">
        <v>63</v>
      </c>
      <c r="BH54" s="39">
        <v>690</v>
      </c>
      <c r="BK54" s="51">
        <v>2.5</v>
      </c>
      <c r="BL54" s="51">
        <v>50</v>
      </c>
      <c r="BM54" s="51">
        <v>50</v>
      </c>
      <c r="BN54" s="51">
        <v>14</v>
      </c>
      <c r="BO54" s="51">
        <v>1</v>
      </c>
      <c r="BP54" s="51">
        <v>1</v>
      </c>
      <c r="BQ54" s="51"/>
      <c r="BR54" s="51"/>
      <c r="BS54" s="51"/>
      <c r="BT54" s="51"/>
      <c r="BU54" s="39">
        <v>1</v>
      </c>
      <c r="BY54" s="39" t="s">
        <v>612</v>
      </c>
      <c r="CB54" s="39" t="s">
        <v>673</v>
      </c>
      <c r="CD54" s="39">
        <v>2.5</v>
      </c>
      <c r="CE54" s="39">
        <v>3.5</v>
      </c>
    </row>
    <row r="55" spans="3:83" x14ac:dyDescent="0.25">
      <c r="C55" s="39" t="s">
        <v>649</v>
      </c>
      <c r="D55" s="39" t="s">
        <v>613</v>
      </c>
      <c r="G55" s="39">
        <v>2</v>
      </c>
      <c r="J55" s="39">
        <v>2</v>
      </c>
      <c r="L55" s="39">
        <v>13</v>
      </c>
      <c r="M55" s="39">
        <v>2</v>
      </c>
      <c r="N55" t="s">
        <v>672</v>
      </c>
      <c r="AA55" s="85"/>
      <c r="BC55" s="39">
        <v>9</v>
      </c>
      <c r="BE55" s="39" t="s">
        <v>613</v>
      </c>
      <c r="BF55" s="39">
        <v>230</v>
      </c>
      <c r="BG55" s="39">
        <v>63</v>
      </c>
      <c r="BH55" s="39">
        <v>690</v>
      </c>
      <c r="BK55" s="51">
        <v>2.5</v>
      </c>
      <c r="BL55" s="51">
        <v>50</v>
      </c>
      <c r="BM55" s="51">
        <v>50</v>
      </c>
      <c r="BN55" s="51">
        <v>14</v>
      </c>
      <c r="BO55" s="51">
        <v>1</v>
      </c>
      <c r="BP55" s="51">
        <v>1</v>
      </c>
      <c r="BQ55" s="51"/>
      <c r="BR55" s="51"/>
      <c r="BS55" s="51"/>
      <c r="BT55" s="51"/>
      <c r="BU55" s="51">
        <v>1</v>
      </c>
      <c r="BV55" s="51"/>
      <c r="BW55" s="51"/>
      <c r="BY55" s="39" t="s">
        <v>613</v>
      </c>
      <c r="BZ55" s="51"/>
      <c r="CA55" s="51"/>
      <c r="CB55" s="39" t="s">
        <v>673</v>
      </c>
      <c r="CD55" s="39">
        <v>2.5</v>
      </c>
      <c r="CE55" s="39">
        <v>3.5</v>
      </c>
    </row>
    <row r="56" spans="3:83" x14ac:dyDescent="0.25">
      <c r="C56" s="39" t="s">
        <v>649</v>
      </c>
      <c r="D56" s="39" t="s">
        <v>614</v>
      </c>
      <c r="G56" s="39">
        <v>3</v>
      </c>
      <c r="J56" s="39">
        <v>3</v>
      </c>
      <c r="L56" s="39">
        <v>13</v>
      </c>
      <c r="M56" s="39">
        <v>3</v>
      </c>
      <c r="N56" t="s">
        <v>674</v>
      </c>
      <c r="AA56" s="85"/>
      <c r="BC56" s="39">
        <v>8</v>
      </c>
      <c r="BE56" s="39" t="s">
        <v>614</v>
      </c>
      <c r="BF56" s="39">
        <v>230</v>
      </c>
      <c r="BG56" s="39">
        <v>63</v>
      </c>
      <c r="BH56" s="39">
        <v>690</v>
      </c>
      <c r="BK56" s="51">
        <v>2.5</v>
      </c>
      <c r="BL56" s="51">
        <v>50</v>
      </c>
      <c r="BM56" s="51">
        <v>50</v>
      </c>
      <c r="BN56" s="51">
        <v>14</v>
      </c>
      <c r="BO56" s="51">
        <v>1</v>
      </c>
      <c r="BP56" s="51">
        <v>1</v>
      </c>
      <c r="BQ56" s="51"/>
      <c r="BR56" s="51"/>
      <c r="BS56" s="51"/>
      <c r="BT56" s="51"/>
      <c r="BU56" s="39">
        <v>1</v>
      </c>
      <c r="BY56" s="39" t="s">
        <v>614</v>
      </c>
      <c r="CB56" s="39" t="s">
        <v>673</v>
      </c>
      <c r="CD56" s="39">
        <v>2.5</v>
      </c>
      <c r="CE56" s="39">
        <v>3.5</v>
      </c>
    </row>
    <row r="57" spans="3:83" x14ac:dyDescent="0.25">
      <c r="C57" s="39" t="s">
        <v>649</v>
      </c>
      <c r="D57" s="39" t="s">
        <v>615</v>
      </c>
      <c r="G57" s="39">
        <v>4</v>
      </c>
      <c r="J57" s="39">
        <v>4</v>
      </c>
      <c r="L57" s="39">
        <v>13</v>
      </c>
      <c r="M57" s="39">
        <v>2</v>
      </c>
      <c r="N57" t="s">
        <v>675</v>
      </c>
      <c r="AA57" s="85"/>
      <c r="BC57" s="39">
        <v>9</v>
      </c>
      <c r="BE57" s="39" t="s">
        <v>615</v>
      </c>
      <c r="BF57" s="39">
        <v>230</v>
      </c>
      <c r="BG57" s="39">
        <v>63</v>
      </c>
      <c r="BH57" s="39">
        <v>690</v>
      </c>
      <c r="BK57" s="51">
        <v>2.5</v>
      </c>
      <c r="BL57" s="51">
        <v>50</v>
      </c>
      <c r="BM57" s="51">
        <v>50</v>
      </c>
      <c r="BN57" s="51">
        <v>14</v>
      </c>
      <c r="BO57" s="51">
        <v>1</v>
      </c>
      <c r="BP57" s="51">
        <v>1</v>
      </c>
      <c r="BQ57" s="51"/>
      <c r="BR57" s="51"/>
      <c r="BS57" s="51"/>
      <c r="BT57" s="51"/>
      <c r="BU57" s="51">
        <v>1</v>
      </c>
      <c r="BV57" s="51"/>
      <c r="BW57" s="51"/>
      <c r="BY57" s="39" t="s">
        <v>615</v>
      </c>
      <c r="BZ57" s="51"/>
      <c r="CA57" s="51"/>
      <c r="CB57" s="39" t="s">
        <v>673</v>
      </c>
      <c r="CD57" s="39">
        <v>2.5</v>
      </c>
      <c r="CE57" s="39">
        <v>3.5</v>
      </c>
    </row>
    <row r="58" spans="3:83" x14ac:dyDescent="0.25">
      <c r="C58" s="39" t="s">
        <v>649</v>
      </c>
      <c r="D58" s="39" t="s">
        <v>667</v>
      </c>
      <c r="G58" s="39">
        <v>5</v>
      </c>
      <c r="J58" s="39">
        <v>5</v>
      </c>
      <c r="L58" s="39">
        <v>13</v>
      </c>
      <c r="M58" s="39">
        <v>3</v>
      </c>
      <c r="N58" t="s">
        <v>676</v>
      </c>
      <c r="AA58" s="85"/>
      <c r="BC58" s="39">
        <v>8</v>
      </c>
      <c r="BE58" s="39" t="s">
        <v>667</v>
      </c>
      <c r="BF58" s="39">
        <v>230</v>
      </c>
      <c r="BG58" s="39">
        <v>63</v>
      </c>
      <c r="BH58" s="39">
        <v>690</v>
      </c>
      <c r="BK58" s="51">
        <v>2.5</v>
      </c>
      <c r="BL58" s="51">
        <v>50</v>
      </c>
      <c r="BM58" s="51">
        <v>50</v>
      </c>
      <c r="BN58" s="51">
        <v>14</v>
      </c>
      <c r="BO58" s="51">
        <v>1</v>
      </c>
      <c r="BP58" s="51">
        <v>1</v>
      </c>
      <c r="BQ58" s="51"/>
      <c r="BR58" s="51"/>
      <c r="BS58" s="51"/>
      <c r="BT58" s="51"/>
      <c r="BU58" s="39">
        <v>1</v>
      </c>
      <c r="BY58" s="39" t="s">
        <v>667</v>
      </c>
      <c r="CB58" s="39" t="s">
        <v>673</v>
      </c>
      <c r="CD58" s="39">
        <v>2.5</v>
      </c>
      <c r="CE58" s="39">
        <v>3.5</v>
      </c>
    </row>
    <row r="59" spans="3:83" x14ac:dyDescent="0.25">
      <c r="C59" s="39" t="s">
        <v>649</v>
      </c>
      <c r="D59" s="39" t="s">
        <v>668</v>
      </c>
      <c r="G59" s="39">
        <v>6</v>
      </c>
      <c r="J59" s="39">
        <v>6</v>
      </c>
      <c r="L59" s="39">
        <v>13</v>
      </c>
      <c r="M59" s="39">
        <v>2</v>
      </c>
      <c r="N59" t="s">
        <v>677</v>
      </c>
      <c r="AA59" s="85"/>
      <c r="BC59" s="39">
        <v>9</v>
      </c>
      <c r="BE59" s="39" t="s">
        <v>668</v>
      </c>
      <c r="BF59" s="39">
        <v>230</v>
      </c>
      <c r="BG59" s="39">
        <v>63</v>
      </c>
      <c r="BH59" s="39">
        <v>690</v>
      </c>
      <c r="BK59" s="51">
        <v>2.5</v>
      </c>
      <c r="BL59" s="51">
        <v>50</v>
      </c>
      <c r="BM59" s="51">
        <v>50</v>
      </c>
      <c r="BN59" s="51">
        <v>14</v>
      </c>
      <c r="BO59" s="51">
        <v>1</v>
      </c>
      <c r="BP59" s="51">
        <v>1</v>
      </c>
      <c r="BQ59" s="51"/>
      <c r="BR59" s="51"/>
      <c r="BS59" s="51"/>
      <c r="BT59" s="51"/>
      <c r="BU59" s="51">
        <v>1</v>
      </c>
      <c r="BV59" s="51"/>
      <c r="BW59" s="51"/>
      <c r="BY59" s="39" t="s">
        <v>668</v>
      </c>
      <c r="BZ59" s="51"/>
      <c r="CA59" s="51"/>
      <c r="CB59" s="39" t="s">
        <v>673</v>
      </c>
      <c r="CD59" s="39">
        <v>2.5</v>
      </c>
      <c r="CE59" s="39">
        <v>3.5</v>
      </c>
    </row>
    <row r="60" spans="3:83" x14ac:dyDescent="0.25">
      <c r="C60" s="39" t="s">
        <v>649</v>
      </c>
      <c r="D60" s="39" t="s">
        <v>161</v>
      </c>
      <c r="N60"/>
      <c r="T60" s="39" t="s">
        <v>617</v>
      </c>
      <c r="U60" s="39" t="s">
        <v>617</v>
      </c>
      <c r="V60" s="39" t="s">
        <v>618</v>
      </c>
      <c r="AA60" s="85"/>
      <c r="BK60" s="51"/>
      <c r="BL60" s="51"/>
      <c r="BM60" s="51"/>
      <c r="BN60" s="51"/>
      <c r="BO60" s="51"/>
      <c r="BP60" s="51"/>
    </row>
    <row r="61" spans="3:83" x14ac:dyDescent="0.25">
      <c r="C61" s="39" t="s">
        <v>649</v>
      </c>
      <c r="D61" s="39" t="s">
        <v>616</v>
      </c>
      <c r="N61"/>
      <c r="AA61" s="85"/>
      <c r="BK61" s="51"/>
      <c r="BL61" s="51"/>
      <c r="BM61" s="51"/>
      <c r="BN61" s="51"/>
      <c r="BO61" s="51"/>
      <c r="BP61" s="51"/>
    </row>
    <row r="62" spans="3:83" x14ac:dyDescent="0.25">
      <c r="N62"/>
    </row>
    <row r="63" spans="3:83" x14ac:dyDescent="0.25">
      <c r="C63" s="39" t="s">
        <v>650</v>
      </c>
      <c r="D63" s="39" t="s">
        <v>612</v>
      </c>
      <c r="G63" s="39">
        <v>1</v>
      </c>
      <c r="J63" s="39">
        <v>1</v>
      </c>
      <c r="L63" s="39">
        <v>13</v>
      </c>
      <c r="M63" s="39">
        <v>3</v>
      </c>
      <c r="N63" t="s">
        <v>671</v>
      </c>
      <c r="AA63" s="85"/>
      <c r="BC63" s="39">
        <v>8</v>
      </c>
      <c r="BE63" s="39" t="s">
        <v>612</v>
      </c>
      <c r="BF63" s="39">
        <v>230</v>
      </c>
      <c r="BG63" s="39">
        <v>63</v>
      </c>
      <c r="BH63" s="39">
        <v>690</v>
      </c>
      <c r="BK63" s="51">
        <v>2.5</v>
      </c>
      <c r="BL63" s="51">
        <v>50</v>
      </c>
      <c r="BM63" s="51">
        <v>50</v>
      </c>
      <c r="BN63" s="51">
        <v>14</v>
      </c>
      <c r="BO63" s="51">
        <v>1</v>
      </c>
      <c r="BP63" s="51">
        <v>1</v>
      </c>
      <c r="BQ63" s="51"/>
      <c r="BR63" s="51"/>
      <c r="BS63" s="51"/>
      <c r="BT63" s="51"/>
      <c r="BU63" s="39">
        <v>1</v>
      </c>
      <c r="BY63" s="39" t="s">
        <v>612</v>
      </c>
      <c r="CB63" s="39" t="s">
        <v>673</v>
      </c>
      <c r="CD63" s="39">
        <v>2.5</v>
      </c>
      <c r="CE63" s="39">
        <v>3.5</v>
      </c>
    </row>
    <row r="64" spans="3:83" x14ac:dyDescent="0.25">
      <c r="C64" s="39" t="s">
        <v>650</v>
      </c>
      <c r="D64" s="39" t="s">
        <v>613</v>
      </c>
      <c r="G64" s="39">
        <v>2</v>
      </c>
      <c r="J64" s="39">
        <v>2</v>
      </c>
      <c r="L64" s="39">
        <v>13</v>
      </c>
      <c r="M64" s="39">
        <v>2</v>
      </c>
      <c r="N64" t="s">
        <v>672</v>
      </c>
      <c r="AA64" s="85"/>
      <c r="BC64" s="39">
        <v>9</v>
      </c>
      <c r="BE64" s="39" t="s">
        <v>613</v>
      </c>
      <c r="BF64" s="39">
        <v>230</v>
      </c>
      <c r="BG64" s="39">
        <v>63</v>
      </c>
      <c r="BH64" s="39">
        <v>690</v>
      </c>
      <c r="BK64" s="51">
        <v>2.5</v>
      </c>
      <c r="BL64" s="51">
        <v>50</v>
      </c>
      <c r="BM64" s="51">
        <v>50</v>
      </c>
      <c r="BN64" s="51">
        <v>14</v>
      </c>
      <c r="BO64" s="51">
        <v>1</v>
      </c>
      <c r="BP64" s="51">
        <v>1</v>
      </c>
      <c r="BQ64" s="51"/>
      <c r="BR64" s="51"/>
      <c r="BS64" s="51"/>
      <c r="BT64" s="51"/>
      <c r="BU64" s="51">
        <v>1</v>
      </c>
      <c r="BV64" s="51"/>
      <c r="BW64" s="51"/>
      <c r="BY64" s="39" t="s">
        <v>613</v>
      </c>
      <c r="BZ64" s="51"/>
      <c r="CA64" s="51"/>
      <c r="CB64" s="39" t="s">
        <v>673</v>
      </c>
      <c r="CD64" s="39">
        <v>2.5</v>
      </c>
      <c r="CE64" s="39">
        <v>3.5</v>
      </c>
    </row>
    <row r="65" spans="3:83" x14ac:dyDescent="0.25">
      <c r="C65" s="39" t="s">
        <v>650</v>
      </c>
      <c r="D65" s="39" t="s">
        <v>614</v>
      </c>
      <c r="G65" s="39">
        <v>3</v>
      </c>
      <c r="J65" s="39">
        <v>3</v>
      </c>
      <c r="L65" s="39">
        <v>13</v>
      </c>
      <c r="M65" s="39">
        <v>3</v>
      </c>
      <c r="N65" t="s">
        <v>674</v>
      </c>
      <c r="AA65" s="85"/>
      <c r="BC65" s="39">
        <v>8</v>
      </c>
      <c r="BE65" s="39" t="s">
        <v>614</v>
      </c>
      <c r="BF65" s="39">
        <v>230</v>
      </c>
      <c r="BG65" s="39">
        <v>63</v>
      </c>
      <c r="BH65" s="39">
        <v>690</v>
      </c>
      <c r="BK65" s="51">
        <v>2.5</v>
      </c>
      <c r="BL65" s="51">
        <v>50</v>
      </c>
      <c r="BM65" s="51">
        <v>50</v>
      </c>
      <c r="BN65" s="51">
        <v>14</v>
      </c>
      <c r="BO65" s="51">
        <v>1</v>
      </c>
      <c r="BP65" s="51">
        <v>1</v>
      </c>
      <c r="BQ65" s="51"/>
      <c r="BR65" s="51"/>
      <c r="BS65" s="51"/>
      <c r="BT65" s="51"/>
      <c r="BU65" s="39">
        <v>1</v>
      </c>
      <c r="BY65" s="39" t="s">
        <v>614</v>
      </c>
      <c r="CB65" s="39" t="s">
        <v>673</v>
      </c>
      <c r="CD65" s="39">
        <v>2.5</v>
      </c>
      <c r="CE65" s="39">
        <v>3.5</v>
      </c>
    </row>
    <row r="66" spans="3:83" x14ac:dyDescent="0.25">
      <c r="C66" s="39" t="s">
        <v>650</v>
      </c>
      <c r="D66" s="39" t="s">
        <v>615</v>
      </c>
      <c r="G66" s="39">
        <v>4</v>
      </c>
      <c r="J66" s="39">
        <v>4</v>
      </c>
      <c r="L66" s="39">
        <v>13</v>
      </c>
      <c r="M66" s="39">
        <v>2</v>
      </c>
      <c r="N66" t="s">
        <v>675</v>
      </c>
      <c r="AA66" s="85"/>
      <c r="BC66" s="39">
        <v>9</v>
      </c>
      <c r="BE66" s="39" t="s">
        <v>615</v>
      </c>
      <c r="BF66" s="39">
        <v>230</v>
      </c>
      <c r="BG66" s="39">
        <v>63</v>
      </c>
      <c r="BH66" s="39">
        <v>690</v>
      </c>
      <c r="BK66" s="51">
        <v>2.5</v>
      </c>
      <c r="BL66" s="51">
        <v>50</v>
      </c>
      <c r="BM66" s="51">
        <v>50</v>
      </c>
      <c r="BN66" s="51">
        <v>14</v>
      </c>
      <c r="BO66" s="51">
        <v>1</v>
      </c>
      <c r="BP66" s="51">
        <v>1</v>
      </c>
      <c r="BQ66" s="51"/>
      <c r="BR66" s="51"/>
      <c r="BS66" s="51"/>
      <c r="BT66" s="51"/>
      <c r="BU66" s="51">
        <v>1</v>
      </c>
      <c r="BV66" s="51"/>
      <c r="BW66" s="51"/>
      <c r="BY66" s="39" t="s">
        <v>615</v>
      </c>
      <c r="BZ66" s="51"/>
      <c r="CA66" s="51"/>
      <c r="CB66" s="39" t="s">
        <v>673</v>
      </c>
      <c r="CD66" s="39">
        <v>2.5</v>
      </c>
      <c r="CE66" s="39">
        <v>3.5</v>
      </c>
    </row>
    <row r="67" spans="3:83" x14ac:dyDescent="0.25">
      <c r="C67" s="39" t="s">
        <v>650</v>
      </c>
      <c r="D67" s="39" t="s">
        <v>667</v>
      </c>
      <c r="G67" s="39">
        <v>5</v>
      </c>
      <c r="J67" s="39">
        <v>5</v>
      </c>
      <c r="L67" s="39">
        <v>13</v>
      </c>
      <c r="M67" s="39">
        <v>3</v>
      </c>
      <c r="N67" t="s">
        <v>676</v>
      </c>
      <c r="AA67" s="85"/>
      <c r="BC67" s="39">
        <v>8</v>
      </c>
      <c r="BE67" s="39" t="s">
        <v>667</v>
      </c>
      <c r="BF67" s="39">
        <v>230</v>
      </c>
      <c r="BG67" s="39">
        <v>63</v>
      </c>
      <c r="BH67" s="39">
        <v>690</v>
      </c>
      <c r="BK67" s="51">
        <v>2.5</v>
      </c>
      <c r="BL67" s="51">
        <v>50</v>
      </c>
      <c r="BM67" s="51">
        <v>50</v>
      </c>
      <c r="BN67" s="51">
        <v>14</v>
      </c>
      <c r="BO67" s="51">
        <v>1</v>
      </c>
      <c r="BP67" s="51">
        <v>1</v>
      </c>
      <c r="BQ67" s="51"/>
      <c r="BR67" s="51"/>
      <c r="BS67" s="51"/>
      <c r="BT67" s="51"/>
      <c r="BU67" s="39">
        <v>1</v>
      </c>
      <c r="BY67" s="39" t="s">
        <v>667</v>
      </c>
      <c r="CB67" s="39" t="s">
        <v>673</v>
      </c>
      <c r="CD67" s="39">
        <v>2.5</v>
      </c>
      <c r="CE67" s="39">
        <v>3.5</v>
      </c>
    </row>
    <row r="68" spans="3:83" x14ac:dyDescent="0.25">
      <c r="C68" s="39" t="s">
        <v>650</v>
      </c>
      <c r="D68" s="39" t="s">
        <v>668</v>
      </c>
      <c r="G68" s="39">
        <v>6</v>
      </c>
      <c r="J68" s="39">
        <v>6</v>
      </c>
      <c r="L68" s="39">
        <v>13</v>
      </c>
      <c r="M68" s="39">
        <v>2</v>
      </c>
      <c r="N68" t="s">
        <v>677</v>
      </c>
      <c r="AA68" s="85"/>
      <c r="BC68" s="39">
        <v>9</v>
      </c>
      <c r="BE68" s="39" t="s">
        <v>668</v>
      </c>
      <c r="BF68" s="39">
        <v>230</v>
      </c>
      <c r="BG68" s="39">
        <v>63</v>
      </c>
      <c r="BH68" s="39">
        <v>690</v>
      </c>
      <c r="BK68" s="51">
        <v>2.5</v>
      </c>
      <c r="BL68" s="51">
        <v>50</v>
      </c>
      <c r="BM68" s="51">
        <v>50</v>
      </c>
      <c r="BN68" s="51">
        <v>14</v>
      </c>
      <c r="BO68" s="51">
        <v>1</v>
      </c>
      <c r="BP68" s="51">
        <v>1</v>
      </c>
      <c r="BQ68" s="51"/>
      <c r="BR68" s="51"/>
      <c r="BS68" s="51"/>
      <c r="BT68" s="51"/>
      <c r="BU68" s="51">
        <v>1</v>
      </c>
      <c r="BV68" s="51"/>
      <c r="BW68" s="51"/>
      <c r="BY68" s="39" t="s">
        <v>668</v>
      </c>
      <c r="BZ68" s="51"/>
      <c r="CA68" s="51"/>
      <c r="CB68" s="39" t="s">
        <v>673</v>
      </c>
      <c r="CD68" s="39">
        <v>2.5</v>
      </c>
      <c r="CE68" s="39">
        <v>3.5</v>
      </c>
    </row>
    <row r="69" spans="3:83" x14ac:dyDescent="0.25">
      <c r="C69" s="39" t="s">
        <v>650</v>
      </c>
      <c r="D69" s="39" t="s">
        <v>669</v>
      </c>
      <c r="G69" s="39">
        <v>7</v>
      </c>
      <c r="J69" s="39">
        <v>7</v>
      </c>
      <c r="L69" s="39">
        <v>13</v>
      </c>
      <c r="M69" s="39">
        <v>3</v>
      </c>
      <c r="N69" t="s">
        <v>678</v>
      </c>
      <c r="AA69" s="85"/>
      <c r="BC69" s="39">
        <v>8</v>
      </c>
      <c r="BE69" s="39" t="s">
        <v>669</v>
      </c>
      <c r="BF69" s="39">
        <v>230</v>
      </c>
      <c r="BG69" s="39">
        <v>63</v>
      </c>
      <c r="BH69" s="39">
        <v>690</v>
      </c>
      <c r="BK69" s="51">
        <v>2.5</v>
      </c>
      <c r="BL69" s="51">
        <v>50</v>
      </c>
      <c r="BM69" s="51">
        <v>50</v>
      </c>
      <c r="BN69" s="51">
        <v>14</v>
      </c>
      <c r="BO69" s="51">
        <v>1</v>
      </c>
      <c r="BP69" s="51">
        <v>1</v>
      </c>
      <c r="BQ69" s="51"/>
      <c r="BR69" s="51"/>
      <c r="BS69" s="51"/>
      <c r="BT69" s="51"/>
      <c r="BU69" s="39">
        <v>1</v>
      </c>
      <c r="BY69" s="39" t="s">
        <v>669</v>
      </c>
      <c r="CB69" s="39" t="s">
        <v>673</v>
      </c>
      <c r="CD69" s="39">
        <v>2.5</v>
      </c>
      <c r="CE69" s="39">
        <v>3.5</v>
      </c>
    </row>
    <row r="70" spans="3:83" x14ac:dyDescent="0.25">
      <c r="C70" s="39" t="s">
        <v>650</v>
      </c>
      <c r="D70" s="39" t="s">
        <v>670</v>
      </c>
      <c r="G70" s="39">
        <v>8</v>
      </c>
      <c r="J70" s="39">
        <v>8</v>
      </c>
      <c r="L70" s="39">
        <v>13</v>
      </c>
      <c r="M70" s="39">
        <v>2</v>
      </c>
      <c r="N70" t="s">
        <v>679</v>
      </c>
      <c r="AA70" s="85"/>
      <c r="BC70" s="39">
        <v>9</v>
      </c>
      <c r="BE70" s="39" t="s">
        <v>670</v>
      </c>
      <c r="BF70" s="39">
        <v>230</v>
      </c>
      <c r="BG70" s="39">
        <v>63</v>
      </c>
      <c r="BH70" s="39">
        <v>690</v>
      </c>
      <c r="BK70" s="51">
        <v>2.5</v>
      </c>
      <c r="BL70" s="51">
        <v>50</v>
      </c>
      <c r="BM70" s="51">
        <v>50</v>
      </c>
      <c r="BN70" s="51">
        <v>14</v>
      </c>
      <c r="BO70" s="51">
        <v>1</v>
      </c>
      <c r="BP70" s="51">
        <v>1</v>
      </c>
      <c r="BQ70" s="51"/>
      <c r="BR70" s="51"/>
      <c r="BS70" s="51"/>
      <c r="BT70" s="51"/>
      <c r="BU70" s="51">
        <v>1</v>
      </c>
      <c r="BV70" s="51"/>
      <c r="BW70" s="51"/>
      <c r="BY70" s="39" t="s">
        <v>670</v>
      </c>
      <c r="BZ70" s="51"/>
      <c r="CA70" s="51"/>
      <c r="CB70" s="39" t="s">
        <v>673</v>
      </c>
      <c r="CD70" s="39">
        <v>2.5</v>
      </c>
      <c r="CE70" s="39">
        <v>3.5</v>
      </c>
    </row>
    <row r="71" spans="3:83" x14ac:dyDescent="0.25">
      <c r="C71" s="39" t="s">
        <v>650</v>
      </c>
      <c r="D71" s="39" t="s">
        <v>161</v>
      </c>
      <c r="N71"/>
      <c r="T71" s="39" t="s">
        <v>617</v>
      </c>
      <c r="U71" s="39" t="s">
        <v>617</v>
      </c>
      <c r="V71" s="39" t="s">
        <v>618</v>
      </c>
      <c r="AA71" s="85"/>
      <c r="BK71" s="51"/>
      <c r="BL71" s="51"/>
      <c r="BM71" s="51"/>
      <c r="BN71" s="51"/>
      <c r="BO71" s="51"/>
      <c r="BP71" s="51"/>
    </row>
    <row r="72" spans="3:83" x14ac:dyDescent="0.25">
      <c r="C72" s="39" t="s">
        <v>650</v>
      </c>
      <c r="D72" s="39" t="s">
        <v>616</v>
      </c>
      <c r="N72"/>
      <c r="AA72" s="85"/>
      <c r="BK72" s="51"/>
      <c r="BL72" s="51"/>
      <c r="BM72" s="51"/>
      <c r="BN72" s="51"/>
      <c r="BO72" s="51"/>
      <c r="BP72" s="51"/>
    </row>
    <row r="73" spans="3:83" x14ac:dyDescent="0.25">
      <c r="N73"/>
      <c r="AA73" s="85"/>
      <c r="BK73" s="51"/>
      <c r="BL73" s="51"/>
      <c r="BM73" s="51"/>
      <c r="BN73" s="51"/>
      <c r="BO73" s="51"/>
      <c r="BP73" s="51"/>
      <c r="BQ73" s="51"/>
      <c r="BR73" s="51"/>
      <c r="BS73" s="51"/>
      <c r="BT73" s="51"/>
    </row>
    <row r="74" spans="3:83" x14ac:dyDescent="0.25">
      <c r="C74" s="39" t="s">
        <v>651</v>
      </c>
      <c r="D74" s="39" t="s">
        <v>612</v>
      </c>
      <c r="G74" s="39">
        <v>1</v>
      </c>
      <c r="J74" s="39">
        <v>1</v>
      </c>
      <c r="L74" s="39">
        <v>13</v>
      </c>
      <c r="M74" s="39">
        <v>3</v>
      </c>
      <c r="N74" t="s">
        <v>671</v>
      </c>
      <c r="AA74" s="85"/>
      <c r="BC74" s="39">
        <v>8</v>
      </c>
      <c r="BE74" s="39" t="s">
        <v>612</v>
      </c>
      <c r="BF74" s="39">
        <v>230</v>
      </c>
      <c r="BG74" s="39">
        <v>80</v>
      </c>
      <c r="BH74" s="39">
        <v>690</v>
      </c>
      <c r="BK74" s="51">
        <v>2.5</v>
      </c>
      <c r="BL74" s="51">
        <v>50</v>
      </c>
      <c r="BM74" s="51">
        <v>50</v>
      </c>
      <c r="BN74" s="51">
        <v>14</v>
      </c>
      <c r="BO74" s="51">
        <v>1</v>
      </c>
      <c r="BP74" s="51">
        <v>1</v>
      </c>
      <c r="BQ74" s="51"/>
      <c r="BR74" s="51"/>
      <c r="BS74" s="51"/>
      <c r="BT74" s="51"/>
      <c r="BU74" s="39">
        <v>1</v>
      </c>
      <c r="BY74" s="39" t="s">
        <v>612</v>
      </c>
      <c r="CB74" s="39" t="s">
        <v>673</v>
      </c>
      <c r="CD74" s="39">
        <v>2.5</v>
      </c>
      <c r="CE74" s="39">
        <v>3.5</v>
      </c>
    </row>
    <row r="75" spans="3:83" x14ac:dyDescent="0.25">
      <c r="C75" s="39" t="s">
        <v>651</v>
      </c>
      <c r="D75" s="39" t="s">
        <v>613</v>
      </c>
      <c r="G75" s="39">
        <v>2</v>
      </c>
      <c r="J75" s="39">
        <v>2</v>
      </c>
      <c r="L75" s="39">
        <v>13</v>
      </c>
      <c r="M75" s="39">
        <v>2</v>
      </c>
      <c r="N75" t="s">
        <v>672</v>
      </c>
      <c r="AA75" s="85"/>
      <c r="BC75" s="39">
        <v>9</v>
      </c>
      <c r="BE75" s="39" t="s">
        <v>613</v>
      </c>
      <c r="BF75" s="39">
        <v>230</v>
      </c>
      <c r="BG75" s="39">
        <v>80</v>
      </c>
      <c r="BH75" s="39">
        <v>690</v>
      </c>
      <c r="BK75" s="51">
        <v>2.5</v>
      </c>
      <c r="BL75" s="51">
        <v>50</v>
      </c>
      <c r="BM75" s="51">
        <v>50</v>
      </c>
      <c r="BN75" s="51">
        <v>14</v>
      </c>
      <c r="BO75" s="51">
        <v>1</v>
      </c>
      <c r="BP75" s="51">
        <v>1</v>
      </c>
      <c r="BQ75" s="51"/>
      <c r="BR75" s="51"/>
      <c r="BS75" s="51"/>
      <c r="BT75" s="51"/>
      <c r="BU75" s="51">
        <v>1</v>
      </c>
      <c r="BV75" s="51"/>
      <c r="BW75" s="51"/>
      <c r="BY75" s="39" t="s">
        <v>613</v>
      </c>
      <c r="BZ75" s="51"/>
      <c r="CA75" s="51"/>
      <c r="CB75" s="39" t="s">
        <v>673</v>
      </c>
      <c r="CD75" s="39">
        <v>2.5</v>
      </c>
      <c r="CE75" s="39">
        <v>3.5</v>
      </c>
    </row>
    <row r="76" spans="3:83" x14ac:dyDescent="0.25">
      <c r="C76" s="39" t="s">
        <v>651</v>
      </c>
      <c r="D76" s="39" t="s">
        <v>161</v>
      </c>
      <c r="N76"/>
      <c r="T76" s="39" t="s">
        <v>617</v>
      </c>
      <c r="U76" s="39" t="s">
        <v>617</v>
      </c>
      <c r="V76" s="39" t="s">
        <v>618</v>
      </c>
      <c r="AA76" s="85"/>
      <c r="BK76" s="51"/>
      <c r="BL76" s="51"/>
      <c r="BM76" s="51"/>
      <c r="BN76" s="51"/>
      <c r="BO76" s="51"/>
      <c r="BP76" s="51"/>
    </row>
    <row r="77" spans="3:83" x14ac:dyDescent="0.25">
      <c r="C77" s="39" t="s">
        <v>651</v>
      </c>
      <c r="D77" s="39" t="s">
        <v>616</v>
      </c>
      <c r="N77"/>
      <c r="AA77" s="85"/>
      <c r="BK77" s="51"/>
      <c r="BL77" s="51"/>
      <c r="BM77" s="51"/>
      <c r="BN77" s="51"/>
      <c r="BO77" s="51"/>
      <c r="BP77" s="51"/>
    </row>
    <row r="78" spans="3:83" x14ac:dyDescent="0.25">
      <c r="N78"/>
      <c r="AA78" s="85"/>
    </row>
    <row r="79" spans="3:83" x14ac:dyDescent="0.25">
      <c r="C79" s="39" t="s">
        <v>652</v>
      </c>
      <c r="D79" s="39" t="s">
        <v>612</v>
      </c>
      <c r="G79" s="39">
        <v>1</v>
      </c>
      <c r="J79" s="39">
        <v>1</v>
      </c>
      <c r="L79" s="39">
        <v>13</v>
      </c>
      <c r="M79" s="39">
        <v>3</v>
      </c>
      <c r="N79" t="s">
        <v>671</v>
      </c>
      <c r="AA79" s="85"/>
      <c r="BC79" s="39">
        <v>8</v>
      </c>
      <c r="BE79" s="39" t="s">
        <v>612</v>
      </c>
      <c r="BF79" s="39">
        <v>230</v>
      </c>
      <c r="BG79" s="39">
        <v>80</v>
      </c>
      <c r="BH79" s="39">
        <v>690</v>
      </c>
      <c r="BK79" s="51">
        <v>2.5</v>
      </c>
      <c r="BL79" s="51">
        <v>50</v>
      </c>
      <c r="BM79" s="51">
        <v>50</v>
      </c>
      <c r="BN79" s="51">
        <v>14</v>
      </c>
      <c r="BO79" s="51">
        <v>1</v>
      </c>
      <c r="BP79" s="51">
        <v>1</v>
      </c>
      <c r="BQ79" s="51"/>
      <c r="BR79" s="51"/>
      <c r="BS79" s="51"/>
      <c r="BT79" s="51"/>
      <c r="BU79" s="39">
        <v>1</v>
      </c>
      <c r="BY79" s="39" t="s">
        <v>612</v>
      </c>
      <c r="CB79" s="39" t="s">
        <v>673</v>
      </c>
      <c r="CD79" s="39">
        <v>2.5</v>
      </c>
      <c r="CE79" s="39">
        <v>3.5</v>
      </c>
    </row>
    <row r="80" spans="3:83" x14ac:dyDescent="0.25">
      <c r="C80" s="39" t="s">
        <v>652</v>
      </c>
      <c r="D80" s="39" t="s">
        <v>613</v>
      </c>
      <c r="G80" s="39">
        <v>2</v>
      </c>
      <c r="J80" s="39">
        <v>2</v>
      </c>
      <c r="L80" s="39">
        <v>13</v>
      </c>
      <c r="M80" s="39">
        <v>2</v>
      </c>
      <c r="N80" t="s">
        <v>672</v>
      </c>
      <c r="AA80" s="85"/>
      <c r="BC80" s="39">
        <v>9</v>
      </c>
      <c r="BE80" s="39" t="s">
        <v>613</v>
      </c>
      <c r="BF80" s="39">
        <v>230</v>
      </c>
      <c r="BG80" s="39">
        <v>80</v>
      </c>
      <c r="BH80" s="39">
        <v>690</v>
      </c>
      <c r="BK80" s="51">
        <v>2.5</v>
      </c>
      <c r="BL80" s="51">
        <v>50</v>
      </c>
      <c r="BM80" s="51">
        <v>50</v>
      </c>
      <c r="BN80" s="51">
        <v>14</v>
      </c>
      <c r="BO80" s="51">
        <v>1</v>
      </c>
      <c r="BP80" s="51">
        <v>1</v>
      </c>
      <c r="BQ80" s="51"/>
      <c r="BR80" s="51"/>
      <c r="BS80" s="51"/>
      <c r="BT80" s="51"/>
      <c r="BU80" s="51">
        <v>1</v>
      </c>
      <c r="BV80" s="51"/>
      <c r="BW80" s="51"/>
      <c r="BY80" s="39" t="s">
        <v>613</v>
      </c>
      <c r="BZ80" s="51"/>
      <c r="CA80" s="51"/>
      <c r="CB80" s="39" t="s">
        <v>673</v>
      </c>
      <c r="CD80" s="39">
        <v>2.5</v>
      </c>
      <c r="CE80" s="39">
        <v>3.5</v>
      </c>
    </row>
    <row r="81" spans="3:83" x14ac:dyDescent="0.25">
      <c r="C81" s="39" t="s">
        <v>652</v>
      </c>
      <c r="D81" s="39" t="s">
        <v>614</v>
      </c>
      <c r="G81" s="39">
        <v>3</v>
      </c>
      <c r="J81" s="39">
        <v>3</v>
      </c>
      <c r="L81" s="39">
        <v>13</v>
      </c>
      <c r="M81" s="39">
        <v>3</v>
      </c>
      <c r="N81" t="s">
        <v>674</v>
      </c>
      <c r="AA81" s="85"/>
      <c r="BC81" s="39">
        <v>8</v>
      </c>
      <c r="BE81" s="39" t="s">
        <v>614</v>
      </c>
      <c r="BF81" s="39">
        <v>230</v>
      </c>
      <c r="BG81" s="39">
        <v>80</v>
      </c>
      <c r="BH81" s="39">
        <v>690</v>
      </c>
      <c r="BK81" s="51">
        <v>2.5</v>
      </c>
      <c r="BL81" s="51">
        <v>50</v>
      </c>
      <c r="BM81" s="51">
        <v>50</v>
      </c>
      <c r="BN81" s="51">
        <v>14</v>
      </c>
      <c r="BO81" s="51">
        <v>1</v>
      </c>
      <c r="BP81" s="51">
        <v>1</v>
      </c>
      <c r="BQ81" s="51"/>
      <c r="BR81" s="51"/>
      <c r="BS81" s="51"/>
      <c r="BT81" s="51"/>
      <c r="BU81" s="39">
        <v>1</v>
      </c>
      <c r="BY81" s="39" t="s">
        <v>614</v>
      </c>
      <c r="CB81" s="39" t="s">
        <v>673</v>
      </c>
      <c r="CD81" s="39">
        <v>2.5</v>
      </c>
      <c r="CE81" s="39">
        <v>3.5</v>
      </c>
    </row>
    <row r="82" spans="3:83" x14ac:dyDescent="0.25">
      <c r="C82" s="39" t="s">
        <v>652</v>
      </c>
      <c r="D82" s="39" t="s">
        <v>615</v>
      </c>
      <c r="G82" s="39">
        <v>4</v>
      </c>
      <c r="J82" s="39">
        <v>4</v>
      </c>
      <c r="L82" s="39">
        <v>13</v>
      </c>
      <c r="M82" s="39">
        <v>2</v>
      </c>
      <c r="N82" t="s">
        <v>675</v>
      </c>
      <c r="AA82" s="85"/>
      <c r="BC82" s="39">
        <v>9</v>
      </c>
      <c r="BE82" s="39" t="s">
        <v>615</v>
      </c>
      <c r="BF82" s="39">
        <v>230</v>
      </c>
      <c r="BG82" s="39">
        <v>80</v>
      </c>
      <c r="BH82" s="39">
        <v>690</v>
      </c>
      <c r="BK82" s="51">
        <v>2.5</v>
      </c>
      <c r="BL82" s="51">
        <v>50</v>
      </c>
      <c r="BM82" s="51">
        <v>50</v>
      </c>
      <c r="BN82" s="51">
        <v>14</v>
      </c>
      <c r="BO82" s="51">
        <v>1</v>
      </c>
      <c r="BP82" s="51">
        <v>1</v>
      </c>
      <c r="BQ82" s="51"/>
      <c r="BR82" s="51"/>
      <c r="BS82" s="51"/>
      <c r="BT82" s="51"/>
      <c r="BU82" s="51">
        <v>1</v>
      </c>
      <c r="BV82" s="51"/>
      <c r="BW82" s="51"/>
      <c r="BY82" s="39" t="s">
        <v>615</v>
      </c>
      <c r="BZ82" s="51"/>
      <c r="CA82" s="51"/>
      <c r="CB82" s="39" t="s">
        <v>673</v>
      </c>
      <c r="CD82" s="39">
        <v>2.5</v>
      </c>
      <c r="CE82" s="39">
        <v>3.5</v>
      </c>
    </row>
    <row r="83" spans="3:83" x14ac:dyDescent="0.25">
      <c r="C83" s="39" t="s">
        <v>652</v>
      </c>
      <c r="D83" s="39" t="s">
        <v>161</v>
      </c>
      <c r="N83"/>
      <c r="T83" s="39" t="s">
        <v>617</v>
      </c>
      <c r="U83" s="39" t="s">
        <v>617</v>
      </c>
      <c r="V83" s="39" t="s">
        <v>618</v>
      </c>
      <c r="AA83" s="85"/>
      <c r="BK83" s="51"/>
      <c r="BL83" s="51"/>
      <c r="BM83" s="51"/>
      <c r="BN83" s="51"/>
      <c r="BO83" s="51"/>
      <c r="BP83" s="51"/>
    </row>
    <row r="84" spans="3:83" x14ac:dyDescent="0.25">
      <c r="C84" s="39" t="s">
        <v>652</v>
      </c>
      <c r="D84" s="39" t="s">
        <v>616</v>
      </c>
      <c r="N84"/>
      <c r="AA84" s="85"/>
      <c r="BK84" s="51"/>
      <c r="BL84" s="51"/>
      <c r="BM84" s="51"/>
      <c r="BN84" s="51"/>
      <c r="BO84" s="51"/>
      <c r="BP84" s="51"/>
    </row>
    <row r="85" spans="3:83" x14ac:dyDescent="0.25">
      <c r="C85" s="40"/>
      <c r="N85"/>
      <c r="AA85" s="85"/>
    </row>
    <row r="86" spans="3:83" x14ac:dyDescent="0.25">
      <c r="C86" s="39" t="s">
        <v>653</v>
      </c>
      <c r="D86" s="39" t="s">
        <v>612</v>
      </c>
      <c r="G86" s="39">
        <v>1</v>
      </c>
      <c r="J86" s="39">
        <v>1</v>
      </c>
      <c r="L86" s="39">
        <v>13</v>
      </c>
      <c r="M86" s="39">
        <v>3</v>
      </c>
      <c r="N86" t="s">
        <v>671</v>
      </c>
      <c r="AA86" s="85"/>
      <c r="BC86" s="39">
        <v>8</v>
      </c>
      <c r="BE86" s="39" t="s">
        <v>612</v>
      </c>
      <c r="BF86" s="39">
        <v>230</v>
      </c>
      <c r="BG86" s="39">
        <v>80</v>
      </c>
      <c r="BH86" s="39">
        <v>690</v>
      </c>
      <c r="BK86" s="51">
        <v>2.5</v>
      </c>
      <c r="BL86" s="51">
        <v>50</v>
      </c>
      <c r="BM86" s="51">
        <v>50</v>
      </c>
      <c r="BN86" s="51">
        <v>14</v>
      </c>
      <c r="BO86" s="51">
        <v>1</v>
      </c>
      <c r="BP86" s="51">
        <v>1</v>
      </c>
      <c r="BQ86" s="51"/>
      <c r="BR86" s="51"/>
      <c r="BS86" s="51"/>
      <c r="BT86" s="51"/>
      <c r="BU86" s="39">
        <v>1</v>
      </c>
      <c r="BY86" s="39" t="s">
        <v>612</v>
      </c>
      <c r="CB86" s="39" t="s">
        <v>673</v>
      </c>
      <c r="CD86" s="39">
        <v>2.5</v>
      </c>
      <c r="CE86" s="39">
        <v>3.5</v>
      </c>
    </row>
    <row r="87" spans="3:83" x14ac:dyDescent="0.25">
      <c r="C87" s="39" t="s">
        <v>653</v>
      </c>
      <c r="D87" s="39" t="s">
        <v>613</v>
      </c>
      <c r="G87" s="39">
        <v>2</v>
      </c>
      <c r="J87" s="39">
        <v>2</v>
      </c>
      <c r="L87" s="39">
        <v>13</v>
      </c>
      <c r="M87" s="39">
        <v>2</v>
      </c>
      <c r="N87" t="s">
        <v>672</v>
      </c>
      <c r="AA87" s="85"/>
      <c r="BC87" s="39">
        <v>9</v>
      </c>
      <c r="BE87" s="39" t="s">
        <v>613</v>
      </c>
      <c r="BF87" s="39">
        <v>230</v>
      </c>
      <c r="BG87" s="39">
        <v>80</v>
      </c>
      <c r="BH87" s="39">
        <v>690</v>
      </c>
      <c r="BK87" s="51">
        <v>2.5</v>
      </c>
      <c r="BL87" s="51">
        <v>50</v>
      </c>
      <c r="BM87" s="51">
        <v>50</v>
      </c>
      <c r="BN87" s="51">
        <v>14</v>
      </c>
      <c r="BO87" s="51">
        <v>1</v>
      </c>
      <c r="BP87" s="51">
        <v>1</v>
      </c>
      <c r="BQ87" s="51"/>
      <c r="BR87" s="51"/>
      <c r="BS87" s="51"/>
      <c r="BT87" s="51"/>
      <c r="BU87" s="51">
        <v>1</v>
      </c>
      <c r="BV87" s="51"/>
      <c r="BW87" s="51"/>
      <c r="BY87" s="39" t="s">
        <v>613</v>
      </c>
      <c r="BZ87" s="51"/>
      <c r="CA87" s="51"/>
      <c r="CB87" s="39" t="s">
        <v>673</v>
      </c>
      <c r="CD87" s="39">
        <v>2.5</v>
      </c>
      <c r="CE87" s="39">
        <v>3.5</v>
      </c>
    </row>
    <row r="88" spans="3:83" x14ac:dyDescent="0.25">
      <c r="C88" s="39" t="s">
        <v>653</v>
      </c>
      <c r="D88" s="39" t="s">
        <v>614</v>
      </c>
      <c r="G88" s="39">
        <v>3</v>
      </c>
      <c r="J88" s="39">
        <v>3</v>
      </c>
      <c r="L88" s="39">
        <v>13</v>
      </c>
      <c r="M88" s="39">
        <v>3</v>
      </c>
      <c r="N88" t="s">
        <v>674</v>
      </c>
      <c r="AA88" s="85"/>
      <c r="BC88" s="39">
        <v>8</v>
      </c>
      <c r="BE88" s="39" t="s">
        <v>614</v>
      </c>
      <c r="BF88" s="39">
        <v>230</v>
      </c>
      <c r="BG88" s="39">
        <v>80</v>
      </c>
      <c r="BH88" s="39">
        <v>690</v>
      </c>
      <c r="BK88" s="51">
        <v>2.5</v>
      </c>
      <c r="BL88" s="51">
        <v>50</v>
      </c>
      <c r="BM88" s="51">
        <v>50</v>
      </c>
      <c r="BN88" s="51">
        <v>14</v>
      </c>
      <c r="BO88" s="51">
        <v>1</v>
      </c>
      <c r="BP88" s="51">
        <v>1</v>
      </c>
      <c r="BQ88" s="51"/>
      <c r="BR88" s="51"/>
      <c r="BS88" s="51"/>
      <c r="BT88" s="51"/>
      <c r="BU88" s="39">
        <v>1</v>
      </c>
      <c r="BY88" s="39" t="s">
        <v>614</v>
      </c>
      <c r="CB88" s="39" t="s">
        <v>673</v>
      </c>
      <c r="CD88" s="39">
        <v>2.5</v>
      </c>
      <c r="CE88" s="39">
        <v>3.5</v>
      </c>
    </row>
    <row r="89" spans="3:83" x14ac:dyDescent="0.25">
      <c r="C89" s="39" t="s">
        <v>653</v>
      </c>
      <c r="D89" s="39" t="s">
        <v>615</v>
      </c>
      <c r="G89" s="39">
        <v>4</v>
      </c>
      <c r="J89" s="39">
        <v>4</v>
      </c>
      <c r="L89" s="39">
        <v>13</v>
      </c>
      <c r="M89" s="39">
        <v>2</v>
      </c>
      <c r="N89" t="s">
        <v>675</v>
      </c>
      <c r="AA89" s="85"/>
      <c r="BC89" s="39">
        <v>9</v>
      </c>
      <c r="BE89" s="39" t="s">
        <v>615</v>
      </c>
      <c r="BF89" s="39">
        <v>230</v>
      </c>
      <c r="BG89" s="39">
        <v>80</v>
      </c>
      <c r="BH89" s="39">
        <v>690</v>
      </c>
      <c r="BK89" s="51">
        <v>2.5</v>
      </c>
      <c r="BL89" s="51">
        <v>50</v>
      </c>
      <c r="BM89" s="51">
        <v>50</v>
      </c>
      <c r="BN89" s="51">
        <v>14</v>
      </c>
      <c r="BO89" s="51">
        <v>1</v>
      </c>
      <c r="BP89" s="51">
        <v>1</v>
      </c>
      <c r="BQ89" s="51"/>
      <c r="BR89" s="51"/>
      <c r="BS89" s="51"/>
      <c r="BT89" s="51"/>
      <c r="BU89" s="51">
        <v>1</v>
      </c>
      <c r="BV89" s="51"/>
      <c r="BW89" s="51"/>
      <c r="BY89" s="39" t="s">
        <v>615</v>
      </c>
      <c r="BZ89" s="51"/>
      <c r="CA89" s="51"/>
      <c r="CB89" s="39" t="s">
        <v>673</v>
      </c>
      <c r="CD89" s="39">
        <v>2.5</v>
      </c>
      <c r="CE89" s="39">
        <v>3.5</v>
      </c>
    </row>
    <row r="90" spans="3:83" x14ac:dyDescent="0.25">
      <c r="C90" s="39" t="s">
        <v>653</v>
      </c>
      <c r="D90" s="39" t="s">
        <v>667</v>
      </c>
      <c r="G90" s="39">
        <v>5</v>
      </c>
      <c r="J90" s="39">
        <v>5</v>
      </c>
      <c r="L90" s="39">
        <v>13</v>
      </c>
      <c r="M90" s="39">
        <v>3</v>
      </c>
      <c r="N90" t="s">
        <v>676</v>
      </c>
      <c r="AA90" s="85"/>
      <c r="BC90" s="39">
        <v>8</v>
      </c>
      <c r="BE90" s="39" t="s">
        <v>667</v>
      </c>
      <c r="BF90" s="39">
        <v>230</v>
      </c>
      <c r="BG90" s="39">
        <v>80</v>
      </c>
      <c r="BH90" s="39">
        <v>690</v>
      </c>
      <c r="BK90" s="51">
        <v>2.5</v>
      </c>
      <c r="BL90" s="51">
        <v>50</v>
      </c>
      <c r="BM90" s="51">
        <v>50</v>
      </c>
      <c r="BN90" s="51">
        <v>14</v>
      </c>
      <c r="BO90" s="51">
        <v>1</v>
      </c>
      <c r="BP90" s="51">
        <v>1</v>
      </c>
      <c r="BQ90" s="51"/>
      <c r="BR90" s="51"/>
      <c r="BS90" s="51"/>
      <c r="BT90" s="51"/>
      <c r="BU90" s="39">
        <v>1</v>
      </c>
      <c r="BY90" s="39" t="s">
        <v>667</v>
      </c>
      <c r="CB90" s="39" t="s">
        <v>673</v>
      </c>
      <c r="CD90" s="39">
        <v>2.5</v>
      </c>
      <c r="CE90" s="39">
        <v>3.5</v>
      </c>
    </row>
    <row r="91" spans="3:83" x14ac:dyDescent="0.25">
      <c r="C91" s="39" t="s">
        <v>653</v>
      </c>
      <c r="D91" s="39" t="s">
        <v>668</v>
      </c>
      <c r="G91" s="39">
        <v>6</v>
      </c>
      <c r="J91" s="39">
        <v>6</v>
      </c>
      <c r="L91" s="39">
        <v>13</v>
      </c>
      <c r="M91" s="39">
        <v>2</v>
      </c>
      <c r="N91" t="s">
        <v>677</v>
      </c>
      <c r="AA91" s="85"/>
      <c r="BC91" s="39">
        <v>9</v>
      </c>
      <c r="BE91" s="39" t="s">
        <v>668</v>
      </c>
      <c r="BF91" s="39">
        <v>230</v>
      </c>
      <c r="BG91" s="39">
        <v>80</v>
      </c>
      <c r="BH91" s="39">
        <v>690</v>
      </c>
      <c r="BK91" s="51">
        <v>2.5</v>
      </c>
      <c r="BL91" s="51">
        <v>50</v>
      </c>
      <c r="BM91" s="51">
        <v>50</v>
      </c>
      <c r="BN91" s="51">
        <v>14</v>
      </c>
      <c r="BO91" s="51">
        <v>1</v>
      </c>
      <c r="BP91" s="51">
        <v>1</v>
      </c>
      <c r="BQ91" s="51"/>
      <c r="BR91" s="51"/>
      <c r="BS91" s="51"/>
      <c r="BT91" s="51"/>
      <c r="BU91" s="51">
        <v>1</v>
      </c>
      <c r="BV91" s="51"/>
      <c r="BW91" s="51"/>
      <c r="BY91" s="39" t="s">
        <v>668</v>
      </c>
      <c r="BZ91" s="51"/>
      <c r="CA91" s="51"/>
      <c r="CB91" s="39" t="s">
        <v>673</v>
      </c>
      <c r="CD91" s="39">
        <v>2.5</v>
      </c>
      <c r="CE91" s="39">
        <v>3.5</v>
      </c>
    </row>
    <row r="92" spans="3:83" x14ac:dyDescent="0.25">
      <c r="C92" s="39" t="s">
        <v>653</v>
      </c>
      <c r="D92" s="39" t="s">
        <v>161</v>
      </c>
      <c r="N92"/>
      <c r="T92" s="39" t="s">
        <v>617</v>
      </c>
      <c r="U92" s="39" t="s">
        <v>617</v>
      </c>
      <c r="V92" s="39" t="s">
        <v>618</v>
      </c>
      <c r="AA92" s="85"/>
      <c r="BK92" s="51"/>
      <c r="BL92" s="51"/>
      <c r="BM92" s="51"/>
      <c r="BN92" s="51"/>
      <c r="BO92" s="51"/>
      <c r="BP92" s="51"/>
    </row>
    <row r="93" spans="3:83" x14ac:dyDescent="0.25">
      <c r="C93" s="39" t="s">
        <v>653</v>
      </c>
      <c r="D93" s="39" t="s">
        <v>616</v>
      </c>
      <c r="N93"/>
      <c r="AA93" s="85"/>
      <c r="BK93" s="51"/>
      <c r="BL93" s="51"/>
      <c r="BM93" s="51"/>
      <c r="BN93" s="51"/>
      <c r="BO93" s="51"/>
      <c r="BP93" s="51"/>
    </row>
    <row r="94" spans="3:83" x14ac:dyDescent="0.25">
      <c r="N94"/>
    </row>
    <row r="95" spans="3:83" x14ac:dyDescent="0.25">
      <c r="C95" s="39" t="s">
        <v>654</v>
      </c>
      <c r="D95" s="39" t="s">
        <v>612</v>
      </c>
      <c r="G95" s="39">
        <v>1</v>
      </c>
      <c r="J95" s="39">
        <v>1</v>
      </c>
      <c r="L95" s="39">
        <v>13</v>
      </c>
      <c r="M95" s="39">
        <v>3</v>
      </c>
      <c r="N95" t="s">
        <v>671</v>
      </c>
      <c r="AA95" s="85"/>
      <c r="BC95" s="39">
        <v>8</v>
      </c>
      <c r="BE95" s="39" t="s">
        <v>612</v>
      </c>
      <c r="BF95" s="39">
        <v>230</v>
      </c>
      <c r="BG95" s="39">
        <v>80</v>
      </c>
      <c r="BH95" s="39">
        <v>690</v>
      </c>
      <c r="BK95" s="51">
        <v>2.5</v>
      </c>
      <c r="BL95" s="51">
        <v>50</v>
      </c>
      <c r="BM95" s="51">
        <v>50</v>
      </c>
      <c r="BN95" s="51">
        <v>14</v>
      </c>
      <c r="BO95" s="51">
        <v>1</v>
      </c>
      <c r="BP95" s="51">
        <v>1</v>
      </c>
      <c r="BQ95" s="51"/>
      <c r="BR95" s="51"/>
      <c r="BS95" s="51"/>
      <c r="BT95" s="51"/>
      <c r="BU95" s="39">
        <v>1</v>
      </c>
      <c r="BY95" s="39" t="s">
        <v>612</v>
      </c>
      <c r="CB95" s="39" t="s">
        <v>673</v>
      </c>
      <c r="CD95" s="39">
        <v>2.5</v>
      </c>
      <c r="CE95" s="39">
        <v>3.5</v>
      </c>
    </row>
    <row r="96" spans="3:83" x14ac:dyDescent="0.25">
      <c r="C96" s="39" t="s">
        <v>654</v>
      </c>
      <c r="D96" s="39" t="s">
        <v>613</v>
      </c>
      <c r="G96" s="39">
        <v>2</v>
      </c>
      <c r="J96" s="39">
        <v>2</v>
      </c>
      <c r="L96" s="39">
        <v>13</v>
      </c>
      <c r="M96" s="39">
        <v>2</v>
      </c>
      <c r="N96" t="s">
        <v>672</v>
      </c>
      <c r="AA96" s="85"/>
      <c r="BC96" s="39">
        <v>9</v>
      </c>
      <c r="BE96" s="39" t="s">
        <v>613</v>
      </c>
      <c r="BF96" s="39">
        <v>230</v>
      </c>
      <c r="BG96" s="39">
        <v>80</v>
      </c>
      <c r="BH96" s="39">
        <v>690</v>
      </c>
      <c r="BK96" s="51">
        <v>2.5</v>
      </c>
      <c r="BL96" s="51">
        <v>50</v>
      </c>
      <c r="BM96" s="51">
        <v>50</v>
      </c>
      <c r="BN96" s="51">
        <v>14</v>
      </c>
      <c r="BO96" s="51">
        <v>1</v>
      </c>
      <c r="BP96" s="51">
        <v>1</v>
      </c>
      <c r="BQ96" s="51"/>
      <c r="BR96" s="51"/>
      <c r="BS96" s="51"/>
      <c r="BT96" s="51"/>
      <c r="BU96" s="51">
        <v>1</v>
      </c>
      <c r="BV96" s="51"/>
      <c r="BW96" s="51"/>
      <c r="BY96" s="39" t="s">
        <v>613</v>
      </c>
      <c r="BZ96" s="51"/>
      <c r="CA96" s="51"/>
      <c r="CB96" s="39" t="s">
        <v>673</v>
      </c>
      <c r="CD96" s="39">
        <v>2.5</v>
      </c>
      <c r="CE96" s="39">
        <v>3.5</v>
      </c>
    </row>
    <row r="97" spans="3:83" x14ac:dyDescent="0.25">
      <c r="C97" s="39" t="s">
        <v>654</v>
      </c>
      <c r="D97" s="39" t="s">
        <v>614</v>
      </c>
      <c r="G97" s="39">
        <v>3</v>
      </c>
      <c r="J97" s="39">
        <v>3</v>
      </c>
      <c r="L97" s="39">
        <v>13</v>
      </c>
      <c r="M97" s="39">
        <v>3</v>
      </c>
      <c r="N97" t="s">
        <v>674</v>
      </c>
      <c r="AA97" s="85"/>
      <c r="BC97" s="39">
        <v>8</v>
      </c>
      <c r="BE97" s="39" t="s">
        <v>614</v>
      </c>
      <c r="BF97" s="39">
        <v>230</v>
      </c>
      <c r="BG97" s="39">
        <v>80</v>
      </c>
      <c r="BH97" s="39">
        <v>690</v>
      </c>
      <c r="BK97" s="51">
        <v>2.5</v>
      </c>
      <c r="BL97" s="51">
        <v>50</v>
      </c>
      <c r="BM97" s="51">
        <v>50</v>
      </c>
      <c r="BN97" s="51">
        <v>14</v>
      </c>
      <c r="BO97" s="51">
        <v>1</v>
      </c>
      <c r="BP97" s="51">
        <v>1</v>
      </c>
      <c r="BQ97" s="51"/>
      <c r="BR97" s="51"/>
      <c r="BS97" s="51"/>
      <c r="BT97" s="51"/>
      <c r="BU97" s="39">
        <v>1</v>
      </c>
      <c r="BY97" s="39" t="s">
        <v>614</v>
      </c>
      <c r="CB97" s="39" t="s">
        <v>673</v>
      </c>
      <c r="CD97" s="39">
        <v>2.5</v>
      </c>
      <c r="CE97" s="39">
        <v>3.5</v>
      </c>
    </row>
    <row r="98" spans="3:83" x14ac:dyDescent="0.25">
      <c r="C98" s="39" t="s">
        <v>654</v>
      </c>
      <c r="D98" s="39" t="s">
        <v>615</v>
      </c>
      <c r="G98" s="39">
        <v>4</v>
      </c>
      <c r="J98" s="39">
        <v>4</v>
      </c>
      <c r="L98" s="39">
        <v>13</v>
      </c>
      <c r="M98" s="39">
        <v>2</v>
      </c>
      <c r="N98" t="s">
        <v>675</v>
      </c>
      <c r="AA98" s="85"/>
      <c r="BC98" s="39">
        <v>9</v>
      </c>
      <c r="BE98" s="39" t="s">
        <v>615</v>
      </c>
      <c r="BF98" s="39">
        <v>230</v>
      </c>
      <c r="BG98" s="39">
        <v>80</v>
      </c>
      <c r="BH98" s="39">
        <v>690</v>
      </c>
      <c r="BK98" s="51">
        <v>2.5</v>
      </c>
      <c r="BL98" s="51">
        <v>50</v>
      </c>
      <c r="BM98" s="51">
        <v>50</v>
      </c>
      <c r="BN98" s="51">
        <v>14</v>
      </c>
      <c r="BO98" s="51">
        <v>1</v>
      </c>
      <c r="BP98" s="51">
        <v>1</v>
      </c>
      <c r="BQ98" s="51"/>
      <c r="BR98" s="51"/>
      <c r="BS98" s="51"/>
      <c r="BT98" s="51"/>
      <c r="BU98" s="51">
        <v>1</v>
      </c>
      <c r="BV98" s="51"/>
      <c r="BW98" s="51"/>
      <c r="BY98" s="39" t="s">
        <v>615</v>
      </c>
      <c r="BZ98" s="51"/>
      <c r="CA98" s="51"/>
      <c r="CB98" s="39" t="s">
        <v>673</v>
      </c>
      <c r="CD98" s="39">
        <v>2.5</v>
      </c>
      <c r="CE98" s="39">
        <v>3.5</v>
      </c>
    </row>
    <row r="99" spans="3:83" x14ac:dyDescent="0.25">
      <c r="C99" s="39" t="s">
        <v>654</v>
      </c>
      <c r="D99" s="39" t="s">
        <v>667</v>
      </c>
      <c r="G99" s="39">
        <v>5</v>
      </c>
      <c r="J99" s="39">
        <v>5</v>
      </c>
      <c r="L99" s="39">
        <v>13</v>
      </c>
      <c r="M99" s="39">
        <v>3</v>
      </c>
      <c r="N99" t="s">
        <v>676</v>
      </c>
      <c r="AA99" s="85"/>
      <c r="BC99" s="39">
        <v>8</v>
      </c>
      <c r="BE99" s="39" t="s">
        <v>667</v>
      </c>
      <c r="BF99" s="39">
        <v>230</v>
      </c>
      <c r="BG99" s="39">
        <v>80</v>
      </c>
      <c r="BH99" s="39">
        <v>690</v>
      </c>
      <c r="BK99" s="51">
        <v>2.5</v>
      </c>
      <c r="BL99" s="51">
        <v>50</v>
      </c>
      <c r="BM99" s="51">
        <v>50</v>
      </c>
      <c r="BN99" s="51">
        <v>14</v>
      </c>
      <c r="BO99" s="51">
        <v>1</v>
      </c>
      <c r="BP99" s="51">
        <v>1</v>
      </c>
      <c r="BQ99" s="51"/>
      <c r="BR99" s="51"/>
      <c r="BS99" s="51"/>
      <c r="BT99" s="51"/>
      <c r="BU99" s="39">
        <v>1</v>
      </c>
      <c r="BY99" s="39" t="s">
        <v>667</v>
      </c>
      <c r="CB99" s="39" t="s">
        <v>673</v>
      </c>
      <c r="CD99" s="39">
        <v>2.5</v>
      </c>
      <c r="CE99" s="39">
        <v>3.5</v>
      </c>
    </row>
    <row r="100" spans="3:83" x14ac:dyDescent="0.25">
      <c r="C100" s="39" t="s">
        <v>654</v>
      </c>
      <c r="D100" s="39" t="s">
        <v>668</v>
      </c>
      <c r="G100" s="39">
        <v>6</v>
      </c>
      <c r="J100" s="39">
        <v>6</v>
      </c>
      <c r="L100" s="39">
        <v>13</v>
      </c>
      <c r="M100" s="39">
        <v>2</v>
      </c>
      <c r="N100" t="s">
        <v>677</v>
      </c>
      <c r="AA100" s="85"/>
      <c r="BC100" s="39">
        <v>9</v>
      </c>
      <c r="BE100" s="39" t="s">
        <v>668</v>
      </c>
      <c r="BF100" s="39">
        <v>230</v>
      </c>
      <c r="BG100" s="39">
        <v>80</v>
      </c>
      <c r="BH100" s="39">
        <v>690</v>
      </c>
      <c r="BK100" s="51">
        <v>2.5</v>
      </c>
      <c r="BL100" s="51">
        <v>50</v>
      </c>
      <c r="BM100" s="51">
        <v>50</v>
      </c>
      <c r="BN100" s="51">
        <v>14</v>
      </c>
      <c r="BO100" s="51">
        <v>1</v>
      </c>
      <c r="BP100" s="51">
        <v>1</v>
      </c>
      <c r="BQ100" s="51"/>
      <c r="BR100" s="51"/>
      <c r="BS100" s="51"/>
      <c r="BT100" s="51"/>
      <c r="BU100" s="51">
        <v>1</v>
      </c>
      <c r="BV100" s="51"/>
      <c r="BW100" s="51"/>
      <c r="BY100" s="39" t="s">
        <v>668</v>
      </c>
      <c r="BZ100" s="51"/>
      <c r="CA100" s="51"/>
      <c r="CB100" s="39" t="s">
        <v>673</v>
      </c>
      <c r="CD100" s="39">
        <v>2.5</v>
      </c>
      <c r="CE100" s="39">
        <v>3.5</v>
      </c>
    </row>
    <row r="101" spans="3:83" x14ac:dyDescent="0.25">
      <c r="C101" s="39" t="s">
        <v>654</v>
      </c>
      <c r="D101" s="39" t="s">
        <v>669</v>
      </c>
      <c r="G101" s="39">
        <v>7</v>
      </c>
      <c r="J101" s="39">
        <v>7</v>
      </c>
      <c r="L101" s="39">
        <v>13</v>
      </c>
      <c r="M101" s="39">
        <v>3</v>
      </c>
      <c r="N101" t="s">
        <v>678</v>
      </c>
      <c r="AA101" s="85"/>
      <c r="BC101" s="39">
        <v>8</v>
      </c>
      <c r="BE101" s="39" t="s">
        <v>669</v>
      </c>
      <c r="BF101" s="39">
        <v>230</v>
      </c>
      <c r="BG101" s="39">
        <v>80</v>
      </c>
      <c r="BH101" s="39">
        <v>690</v>
      </c>
      <c r="BK101" s="51">
        <v>2.5</v>
      </c>
      <c r="BL101" s="51">
        <v>50</v>
      </c>
      <c r="BM101" s="51">
        <v>50</v>
      </c>
      <c r="BN101" s="51">
        <v>14</v>
      </c>
      <c r="BO101" s="51">
        <v>1</v>
      </c>
      <c r="BP101" s="51">
        <v>1</v>
      </c>
      <c r="BQ101" s="51"/>
      <c r="BR101" s="51"/>
      <c r="BS101" s="51"/>
      <c r="BT101" s="51"/>
      <c r="BU101" s="39">
        <v>1</v>
      </c>
      <c r="BY101" s="39" t="s">
        <v>669</v>
      </c>
      <c r="CB101" s="39" t="s">
        <v>673</v>
      </c>
      <c r="CD101" s="39">
        <v>2.5</v>
      </c>
      <c r="CE101" s="39">
        <v>3.5</v>
      </c>
    </row>
    <row r="102" spans="3:83" x14ac:dyDescent="0.25">
      <c r="C102" s="39" t="s">
        <v>654</v>
      </c>
      <c r="D102" s="39" t="s">
        <v>670</v>
      </c>
      <c r="G102" s="39">
        <v>8</v>
      </c>
      <c r="J102" s="39">
        <v>8</v>
      </c>
      <c r="L102" s="39">
        <v>13</v>
      </c>
      <c r="M102" s="39">
        <v>2</v>
      </c>
      <c r="N102" t="s">
        <v>679</v>
      </c>
      <c r="AA102" s="85"/>
      <c r="BC102" s="39">
        <v>9</v>
      </c>
      <c r="BE102" s="39" t="s">
        <v>670</v>
      </c>
      <c r="BF102" s="39">
        <v>230</v>
      </c>
      <c r="BG102" s="39">
        <v>80</v>
      </c>
      <c r="BH102" s="39">
        <v>690</v>
      </c>
      <c r="BK102" s="51">
        <v>2.5</v>
      </c>
      <c r="BL102" s="51">
        <v>50</v>
      </c>
      <c r="BM102" s="51">
        <v>50</v>
      </c>
      <c r="BN102" s="51">
        <v>14</v>
      </c>
      <c r="BO102" s="51">
        <v>1</v>
      </c>
      <c r="BP102" s="51">
        <v>1</v>
      </c>
      <c r="BQ102" s="51"/>
      <c r="BR102" s="51"/>
      <c r="BS102" s="51"/>
      <c r="BT102" s="51"/>
      <c r="BU102" s="51">
        <v>1</v>
      </c>
      <c r="BV102" s="51"/>
      <c r="BW102" s="51"/>
      <c r="BY102" s="39" t="s">
        <v>670</v>
      </c>
      <c r="BZ102" s="51"/>
      <c r="CA102" s="51"/>
      <c r="CB102" s="39" t="s">
        <v>673</v>
      </c>
      <c r="CD102" s="39">
        <v>2.5</v>
      </c>
      <c r="CE102" s="39">
        <v>3.5</v>
      </c>
    </row>
    <row r="103" spans="3:83" x14ac:dyDescent="0.25">
      <c r="C103" s="39" t="s">
        <v>654</v>
      </c>
      <c r="D103" s="39" t="s">
        <v>161</v>
      </c>
      <c r="N103"/>
      <c r="T103" s="39" t="s">
        <v>617</v>
      </c>
      <c r="U103" s="39" t="s">
        <v>617</v>
      </c>
      <c r="V103" s="39" t="s">
        <v>618</v>
      </c>
      <c r="AA103" s="85"/>
      <c r="BK103" s="51"/>
      <c r="BL103" s="51"/>
      <c r="BM103" s="51"/>
      <c r="BN103" s="51"/>
      <c r="BO103" s="51"/>
      <c r="BP103" s="51"/>
    </row>
    <row r="104" spans="3:83" x14ac:dyDescent="0.25">
      <c r="C104" s="39" t="s">
        <v>654</v>
      </c>
      <c r="D104" s="39" t="s">
        <v>616</v>
      </c>
      <c r="N104"/>
      <c r="AA104" s="85"/>
      <c r="BK104" s="51"/>
      <c r="BL104" s="51"/>
      <c r="BM104" s="51"/>
      <c r="BN104" s="51"/>
      <c r="BO104" s="51"/>
      <c r="BP104" s="51"/>
    </row>
    <row r="105" spans="3:83" x14ac:dyDescent="0.25">
      <c r="AA105" s="85"/>
    </row>
    <row r="106" spans="3:83" x14ac:dyDescent="0.25">
      <c r="C106" s="39" t="s">
        <v>655</v>
      </c>
      <c r="D106" s="39" t="s">
        <v>612</v>
      </c>
      <c r="G106" s="39">
        <v>1</v>
      </c>
      <c r="J106" s="39">
        <v>1</v>
      </c>
      <c r="L106" s="39">
        <v>13</v>
      </c>
      <c r="M106" s="39">
        <v>3</v>
      </c>
      <c r="N106" t="s">
        <v>671</v>
      </c>
      <c r="AA106" s="85"/>
      <c r="BC106" s="39">
        <v>8</v>
      </c>
      <c r="BE106" s="39" t="s">
        <v>612</v>
      </c>
      <c r="BF106" s="39">
        <v>230</v>
      </c>
      <c r="BG106" s="39">
        <v>100</v>
      </c>
      <c r="BH106" s="39">
        <v>690</v>
      </c>
      <c r="BK106" s="51">
        <v>2.5</v>
      </c>
      <c r="BL106" s="51">
        <v>50</v>
      </c>
      <c r="BM106" s="51">
        <v>50</v>
      </c>
      <c r="BN106" s="51">
        <v>14</v>
      </c>
      <c r="BO106" s="51">
        <v>1</v>
      </c>
      <c r="BP106" s="51">
        <v>1</v>
      </c>
      <c r="BQ106" s="51"/>
      <c r="BR106" s="51"/>
      <c r="BS106" s="51"/>
      <c r="BT106" s="51"/>
      <c r="BU106" s="39">
        <v>1</v>
      </c>
      <c r="BY106" s="39" t="s">
        <v>612</v>
      </c>
      <c r="CB106" s="39" t="s">
        <v>673</v>
      </c>
      <c r="CD106" s="39">
        <v>2.5</v>
      </c>
      <c r="CE106" s="39">
        <v>3.5</v>
      </c>
    </row>
    <row r="107" spans="3:83" x14ac:dyDescent="0.25">
      <c r="C107" s="39" t="s">
        <v>655</v>
      </c>
      <c r="D107" s="39" t="s">
        <v>613</v>
      </c>
      <c r="G107" s="39">
        <v>2</v>
      </c>
      <c r="J107" s="39">
        <v>2</v>
      </c>
      <c r="L107" s="39">
        <v>13</v>
      </c>
      <c r="M107" s="39">
        <v>2</v>
      </c>
      <c r="N107" t="s">
        <v>672</v>
      </c>
      <c r="AA107" s="85"/>
      <c r="BC107" s="39">
        <v>9</v>
      </c>
      <c r="BE107" s="39" t="s">
        <v>613</v>
      </c>
      <c r="BF107" s="39">
        <v>230</v>
      </c>
      <c r="BG107" s="39">
        <v>100</v>
      </c>
      <c r="BH107" s="39">
        <v>690</v>
      </c>
      <c r="BK107" s="51">
        <v>2.5</v>
      </c>
      <c r="BL107" s="51">
        <v>50</v>
      </c>
      <c r="BM107" s="51">
        <v>50</v>
      </c>
      <c r="BN107" s="51">
        <v>14</v>
      </c>
      <c r="BO107" s="51">
        <v>1</v>
      </c>
      <c r="BP107" s="51">
        <v>1</v>
      </c>
      <c r="BQ107" s="51"/>
      <c r="BR107" s="51"/>
      <c r="BS107" s="51"/>
      <c r="BT107" s="51"/>
      <c r="BU107" s="51">
        <v>1</v>
      </c>
      <c r="BV107" s="51"/>
      <c r="BW107" s="51"/>
      <c r="BY107" s="39" t="s">
        <v>613</v>
      </c>
      <c r="BZ107" s="51"/>
      <c r="CA107" s="51"/>
      <c r="CB107" s="39" t="s">
        <v>673</v>
      </c>
      <c r="CD107" s="39">
        <v>2.5</v>
      </c>
      <c r="CE107" s="39">
        <v>3.5</v>
      </c>
    </row>
    <row r="108" spans="3:83" x14ac:dyDescent="0.25">
      <c r="C108" s="39" t="s">
        <v>655</v>
      </c>
      <c r="D108" s="39" t="s">
        <v>161</v>
      </c>
      <c r="N108"/>
      <c r="T108" s="39" t="s">
        <v>617</v>
      </c>
      <c r="U108" s="39" t="s">
        <v>617</v>
      </c>
      <c r="V108" s="39" t="s">
        <v>618</v>
      </c>
      <c r="AA108" s="85"/>
      <c r="BK108" s="51"/>
      <c r="BL108" s="51"/>
      <c r="BM108" s="51"/>
      <c r="BN108" s="51"/>
      <c r="BO108" s="51"/>
      <c r="BP108" s="51"/>
    </row>
    <row r="109" spans="3:83" x14ac:dyDescent="0.25">
      <c r="C109" s="39" t="s">
        <v>655</v>
      </c>
      <c r="D109" s="39" t="s">
        <v>616</v>
      </c>
      <c r="N109"/>
      <c r="AA109" s="85"/>
      <c r="BK109" s="51"/>
      <c r="BL109" s="51"/>
      <c r="BM109" s="51"/>
      <c r="BN109" s="51"/>
      <c r="BO109" s="51"/>
      <c r="BP109" s="51"/>
    </row>
    <row r="110" spans="3:83" x14ac:dyDescent="0.25">
      <c r="N110"/>
      <c r="AA110" s="85"/>
    </row>
    <row r="111" spans="3:83" x14ac:dyDescent="0.25">
      <c r="C111" s="39" t="s">
        <v>656</v>
      </c>
      <c r="D111" s="39" t="s">
        <v>612</v>
      </c>
      <c r="G111" s="39">
        <v>1</v>
      </c>
      <c r="J111" s="39">
        <v>1</v>
      </c>
      <c r="L111" s="39">
        <v>13</v>
      </c>
      <c r="M111" s="39">
        <v>3</v>
      </c>
      <c r="N111" t="s">
        <v>671</v>
      </c>
      <c r="AA111" s="85"/>
      <c r="BC111" s="39">
        <v>8</v>
      </c>
      <c r="BE111" s="39" t="s">
        <v>612</v>
      </c>
      <c r="BF111" s="39">
        <v>230</v>
      </c>
      <c r="BG111" s="39">
        <v>100</v>
      </c>
      <c r="BH111" s="39">
        <v>690</v>
      </c>
      <c r="BK111" s="51">
        <v>2.5</v>
      </c>
      <c r="BL111" s="51">
        <v>50</v>
      </c>
      <c r="BM111" s="51">
        <v>50</v>
      </c>
      <c r="BN111" s="51">
        <v>14</v>
      </c>
      <c r="BO111" s="51">
        <v>1</v>
      </c>
      <c r="BP111" s="51">
        <v>1</v>
      </c>
      <c r="BQ111" s="51"/>
      <c r="BR111" s="51"/>
      <c r="BS111" s="51"/>
      <c r="BT111" s="51"/>
      <c r="BU111" s="39">
        <v>1</v>
      </c>
      <c r="BY111" s="39" t="s">
        <v>612</v>
      </c>
      <c r="CB111" s="39" t="s">
        <v>673</v>
      </c>
      <c r="CD111" s="39">
        <v>2.5</v>
      </c>
      <c r="CE111" s="39">
        <v>3.5</v>
      </c>
    </row>
    <row r="112" spans="3:83" x14ac:dyDescent="0.25">
      <c r="C112" s="39" t="s">
        <v>656</v>
      </c>
      <c r="D112" s="39" t="s">
        <v>613</v>
      </c>
      <c r="G112" s="39">
        <v>2</v>
      </c>
      <c r="J112" s="39">
        <v>2</v>
      </c>
      <c r="L112" s="39">
        <v>13</v>
      </c>
      <c r="M112" s="39">
        <v>2</v>
      </c>
      <c r="N112" t="s">
        <v>672</v>
      </c>
      <c r="AA112" s="85"/>
      <c r="BC112" s="39">
        <v>9</v>
      </c>
      <c r="BE112" s="39" t="s">
        <v>613</v>
      </c>
      <c r="BF112" s="39">
        <v>230</v>
      </c>
      <c r="BG112" s="39">
        <v>100</v>
      </c>
      <c r="BH112" s="39">
        <v>690</v>
      </c>
      <c r="BK112" s="51">
        <v>2.5</v>
      </c>
      <c r="BL112" s="51">
        <v>50</v>
      </c>
      <c r="BM112" s="51">
        <v>50</v>
      </c>
      <c r="BN112" s="51">
        <v>14</v>
      </c>
      <c r="BO112" s="51">
        <v>1</v>
      </c>
      <c r="BP112" s="51">
        <v>1</v>
      </c>
      <c r="BQ112" s="51"/>
      <c r="BR112" s="51"/>
      <c r="BS112" s="51"/>
      <c r="BT112" s="51"/>
      <c r="BU112" s="51">
        <v>1</v>
      </c>
      <c r="BV112" s="51"/>
      <c r="BW112" s="51"/>
      <c r="BY112" s="39" t="s">
        <v>613</v>
      </c>
      <c r="BZ112" s="51"/>
      <c r="CA112" s="51"/>
      <c r="CB112" s="39" t="s">
        <v>673</v>
      </c>
      <c r="CD112" s="39">
        <v>2.5</v>
      </c>
      <c r="CE112" s="39">
        <v>3.5</v>
      </c>
    </row>
    <row r="113" spans="3:83" x14ac:dyDescent="0.25">
      <c r="C113" s="39" t="s">
        <v>656</v>
      </c>
      <c r="D113" s="39" t="s">
        <v>614</v>
      </c>
      <c r="G113" s="39">
        <v>3</v>
      </c>
      <c r="J113" s="39">
        <v>3</v>
      </c>
      <c r="L113" s="39">
        <v>13</v>
      </c>
      <c r="M113" s="39">
        <v>3</v>
      </c>
      <c r="N113" t="s">
        <v>674</v>
      </c>
      <c r="AA113" s="85"/>
      <c r="BC113" s="39">
        <v>8</v>
      </c>
      <c r="BE113" s="39" t="s">
        <v>614</v>
      </c>
      <c r="BF113" s="39">
        <v>230</v>
      </c>
      <c r="BG113" s="39">
        <v>100</v>
      </c>
      <c r="BH113" s="39">
        <v>690</v>
      </c>
      <c r="BK113" s="51">
        <v>2.5</v>
      </c>
      <c r="BL113" s="51">
        <v>50</v>
      </c>
      <c r="BM113" s="51">
        <v>50</v>
      </c>
      <c r="BN113" s="51">
        <v>14</v>
      </c>
      <c r="BO113" s="51">
        <v>1</v>
      </c>
      <c r="BP113" s="51">
        <v>1</v>
      </c>
      <c r="BQ113" s="51"/>
      <c r="BR113" s="51"/>
      <c r="BS113" s="51"/>
      <c r="BT113" s="51"/>
      <c r="BU113" s="39">
        <v>1</v>
      </c>
      <c r="BY113" s="39" t="s">
        <v>614</v>
      </c>
      <c r="CB113" s="39" t="s">
        <v>673</v>
      </c>
      <c r="CD113" s="39">
        <v>2.5</v>
      </c>
      <c r="CE113" s="39">
        <v>3.5</v>
      </c>
    </row>
    <row r="114" spans="3:83" x14ac:dyDescent="0.25">
      <c r="C114" s="39" t="s">
        <v>656</v>
      </c>
      <c r="D114" s="39" t="s">
        <v>615</v>
      </c>
      <c r="G114" s="39">
        <v>4</v>
      </c>
      <c r="J114" s="39">
        <v>4</v>
      </c>
      <c r="L114" s="39">
        <v>13</v>
      </c>
      <c r="M114" s="39">
        <v>2</v>
      </c>
      <c r="N114" t="s">
        <v>675</v>
      </c>
      <c r="AA114" s="85"/>
      <c r="BC114" s="39">
        <v>9</v>
      </c>
      <c r="BE114" s="39" t="s">
        <v>615</v>
      </c>
      <c r="BF114" s="39">
        <v>230</v>
      </c>
      <c r="BG114" s="39">
        <v>100</v>
      </c>
      <c r="BH114" s="39">
        <v>690</v>
      </c>
      <c r="BK114" s="51">
        <v>2.5</v>
      </c>
      <c r="BL114" s="51">
        <v>50</v>
      </c>
      <c r="BM114" s="51">
        <v>50</v>
      </c>
      <c r="BN114" s="51">
        <v>14</v>
      </c>
      <c r="BO114" s="51">
        <v>1</v>
      </c>
      <c r="BP114" s="51">
        <v>1</v>
      </c>
      <c r="BQ114" s="51"/>
      <c r="BR114" s="51"/>
      <c r="BS114" s="51"/>
      <c r="BT114" s="51"/>
      <c r="BU114" s="51">
        <v>1</v>
      </c>
      <c r="BV114" s="51"/>
      <c r="BW114" s="51"/>
      <c r="BY114" s="39" t="s">
        <v>615</v>
      </c>
      <c r="BZ114" s="51"/>
      <c r="CA114" s="51"/>
      <c r="CB114" s="39" t="s">
        <v>673</v>
      </c>
      <c r="CD114" s="39">
        <v>2.5</v>
      </c>
      <c r="CE114" s="39">
        <v>3.5</v>
      </c>
    </row>
    <row r="115" spans="3:83" x14ac:dyDescent="0.25">
      <c r="C115" s="39" t="s">
        <v>656</v>
      </c>
      <c r="D115" s="39" t="s">
        <v>161</v>
      </c>
      <c r="N115"/>
      <c r="T115" s="39" t="s">
        <v>617</v>
      </c>
      <c r="U115" s="39" t="s">
        <v>617</v>
      </c>
      <c r="V115" s="39" t="s">
        <v>618</v>
      </c>
      <c r="AA115" s="85"/>
      <c r="BK115" s="51"/>
      <c r="BL115" s="51"/>
      <c r="BM115" s="51"/>
      <c r="BN115" s="51"/>
      <c r="BO115" s="51"/>
      <c r="BP115" s="51"/>
    </row>
    <row r="116" spans="3:83" x14ac:dyDescent="0.25">
      <c r="C116" s="39" t="s">
        <v>656</v>
      </c>
      <c r="D116" s="39" t="s">
        <v>616</v>
      </c>
      <c r="N116"/>
      <c r="AA116" s="85"/>
      <c r="BK116" s="51"/>
      <c r="BL116" s="51"/>
      <c r="BM116" s="51"/>
      <c r="BN116" s="51"/>
      <c r="BO116" s="51"/>
      <c r="BP116" s="51"/>
    </row>
    <row r="117" spans="3:83" x14ac:dyDescent="0.25">
      <c r="C117" s="40"/>
      <c r="N117"/>
      <c r="AA117" s="85"/>
    </row>
    <row r="118" spans="3:83" x14ac:dyDescent="0.25">
      <c r="C118" s="39" t="s">
        <v>657</v>
      </c>
      <c r="D118" s="39" t="s">
        <v>612</v>
      </c>
      <c r="G118" s="39">
        <v>1</v>
      </c>
      <c r="J118" s="39">
        <v>1</v>
      </c>
      <c r="L118" s="39">
        <v>13</v>
      </c>
      <c r="M118" s="39">
        <v>3</v>
      </c>
      <c r="N118" t="s">
        <v>671</v>
      </c>
      <c r="AA118" s="85"/>
      <c r="BC118" s="39">
        <v>8</v>
      </c>
      <c r="BE118" s="39" t="s">
        <v>612</v>
      </c>
      <c r="BF118" s="39">
        <v>230</v>
      </c>
      <c r="BG118" s="39">
        <v>100</v>
      </c>
      <c r="BH118" s="39">
        <v>690</v>
      </c>
      <c r="BK118" s="51">
        <v>2.5</v>
      </c>
      <c r="BL118" s="51">
        <v>50</v>
      </c>
      <c r="BM118" s="51">
        <v>50</v>
      </c>
      <c r="BN118" s="51">
        <v>14</v>
      </c>
      <c r="BO118" s="51">
        <v>1</v>
      </c>
      <c r="BP118" s="51">
        <v>1</v>
      </c>
      <c r="BQ118" s="51"/>
      <c r="BR118" s="51"/>
      <c r="BS118" s="51"/>
      <c r="BT118" s="51"/>
      <c r="BU118" s="39">
        <v>1</v>
      </c>
      <c r="BY118" s="39" t="s">
        <v>612</v>
      </c>
      <c r="CB118" s="39" t="s">
        <v>673</v>
      </c>
      <c r="CD118" s="39">
        <v>2.5</v>
      </c>
      <c r="CE118" s="39">
        <v>3.5</v>
      </c>
    </row>
    <row r="119" spans="3:83" x14ac:dyDescent="0.25">
      <c r="C119" s="39" t="s">
        <v>657</v>
      </c>
      <c r="D119" s="39" t="s">
        <v>613</v>
      </c>
      <c r="G119" s="39">
        <v>2</v>
      </c>
      <c r="J119" s="39">
        <v>2</v>
      </c>
      <c r="L119" s="39">
        <v>13</v>
      </c>
      <c r="M119" s="39">
        <v>2</v>
      </c>
      <c r="N119" t="s">
        <v>672</v>
      </c>
      <c r="AA119" s="85"/>
      <c r="BC119" s="39">
        <v>9</v>
      </c>
      <c r="BE119" s="39" t="s">
        <v>613</v>
      </c>
      <c r="BF119" s="39">
        <v>230</v>
      </c>
      <c r="BG119" s="39">
        <v>100</v>
      </c>
      <c r="BH119" s="39">
        <v>690</v>
      </c>
      <c r="BK119" s="51">
        <v>2.5</v>
      </c>
      <c r="BL119" s="51">
        <v>50</v>
      </c>
      <c r="BM119" s="51">
        <v>50</v>
      </c>
      <c r="BN119" s="51">
        <v>14</v>
      </c>
      <c r="BO119" s="51">
        <v>1</v>
      </c>
      <c r="BP119" s="51">
        <v>1</v>
      </c>
      <c r="BQ119" s="51"/>
      <c r="BR119" s="51"/>
      <c r="BS119" s="51"/>
      <c r="BT119" s="51"/>
      <c r="BU119" s="51">
        <v>1</v>
      </c>
      <c r="BV119" s="51"/>
      <c r="BW119" s="51"/>
      <c r="BY119" s="39" t="s">
        <v>613</v>
      </c>
      <c r="BZ119" s="51"/>
      <c r="CA119" s="51"/>
      <c r="CB119" s="39" t="s">
        <v>673</v>
      </c>
      <c r="CD119" s="39">
        <v>2.5</v>
      </c>
      <c r="CE119" s="39">
        <v>3.5</v>
      </c>
    </row>
    <row r="120" spans="3:83" x14ac:dyDescent="0.25">
      <c r="C120" s="39" t="s">
        <v>657</v>
      </c>
      <c r="D120" s="39" t="s">
        <v>614</v>
      </c>
      <c r="G120" s="39">
        <v>3</v>
      </c>
      <c r="J120" s="39">
        <v>3</v>
      </c>
      <c r="L120" s="39">
        <v>13</v>
      </c>
      <c r="M120" s="39">
        <v>3</v>
      </c>
      <c r="N120" t="s">
        <v>674</v>
      </c>
      <c r="AA120" s="85"/>
      <c r="BC120" s="39">
        <v>8</v>
      </c>
      <c r="BE120" s="39" t="s">
        <v>614</v>
      </c>
      <c r="BF120" s="39">
        <v>230</v>
      </c>
      <c r="BG120" s="39">
        <v>100</v>
      </c>
      <c r="BH120" s="39">
        <v>690</v>
      </c>
      <c r="BK120" s="51">
        <v>2.5</v>
      </c>
      <c r="BL120" s="51">
        <v>50</v>
      </c>
      <c r="BM120" s="51">
        <v>50</v>
      </c>
      <c r="BN120" s="51">
        <v>14</v>
      </c>
      <c r="BO120" s="51">
        <v>1</v>
      </c>
      <c r="BP120" s="51">
        <v>1</v>
      </c>
      <c r="BQ120" s="51"/>
      <c r="BR120" s="51"/>
      <c r="BS120" s="51"/>
      <c r="BT120" s="51"/>
      <c r="BU120" s="39">
        <v>1</v>
      </c>
      <c r="BY120" s="39" t="s">
        <v>614</v>
      </c>
      <c r="CB120" s="39" t="s">
        <v>673</v>
      </c>
      <c r="CD120" s="39">
        <v>2.5</v>
      </c>
      <c r="CE120" s="39">
        <v>3.5</v>
      </c>
    </row>
    <row r="121" spans="3:83" x14ac:dyDescent="0.25">
      <c r="C121" s="39" t="s">
        <v>657</v>
      </c>
      <c r="D121" s="39" t="s">
        <v>615</v>
      </c>
      <c r="G121" s="39">
        <v>4</v>
      </c>
      <c r="J121" s="39">
        <v>4</v>
      </c>
      <c r="L121" s="39">
        <v>13</v>
      </c>
      <c r="M121" s="39">
        <v>2</v>
      </c>
      <c r="N121" t="s">
        <v>675</v>
      </c>
      <c r="AA121" s="85"/>
      <c r="BC121" s="39">
        <v>9</v>
      </c>
      <c r="BE121" s="39" t="s">
        <v>615</v>
      </c>
      <c r="BF121" s="39">
        <v>230</v>
      </c>
      <c r="BG121" s="39">
        <v>100</v>
      </c>
      <c r="BH121" s="39">
        <v>690</v>
      </c>
      <c r="BK121" s="51">
        <v>2.5</v>
      </c>
      <c r="BL121" s="51">
        <v>50</v>
      </c>
      <c r="BM121" s="51">
        <v>50</v>
      </c>
      <c r="BN121" s="51">
        <v>14</v>
      </c>
      <c r="BO121" s="51">
        <v>1</v>
      </c>
      <c r="BP121" s="51">
        <v>1</v>
      </c>
      <c r="BQ121" s="51"/>
      <c r="BR121" s="51"/>
      <c r="BS121" s="51"/>
      <c r="BT121" s="51"/>
      <c r="BU121" s="51">
        <v>1</v>
      </c>
      <c r="BV121" s="51"/>
      <c r="BW121" s="51"/>
      <c r="BY121" s="39" t="s">
        <v>615</v>
      </c>
      <c r="BZ121" s="51"/>
      <c r="CA121" s="51"/>
      <c r="CB121" s="39" t="s">
        <v>673</v>
      </c>
      <c r="CD121" s="39">
        <v>2.5</v>
      </c>
      <c r="CE121" s="39">
        <v>3.5</v>
      </c>
    </row>
    <row r="122" spans="3:83" x14ac:dyDescent="0.25">
      <c r="C122" s="39" t="s">
        <v>657</v>
      </c>
      <c r="D122" s="39" t="s">
        <v>667</v>
      </c>
      <c r="G122" s="39">
        <v>5</v>
      </c>
      <c r="J122" s="39">
        <v>5</v>
      </c>
      <c r="L122" s="39">
        <v>13</v>
      </c>
      <c r="M122" s="39">
        <v>3</v>
      </c>
      <c r="N122" t="s">
        <v>676</v>
      </c>
      <c r="AA122" s="85"/>
      <c r="BC122" s="39">
        <v>8</v>
      </c>
      <c r="BE122" s="39" t="s">
        <v>667</v>
      </c>
      <c r="BF122" s="39">
        <v>230</v>
      </c>
      <c r="BG122" s="39">
        <v>100</v>
      </c>
      <c r="BH122" s="39">
        <v>690</v>
      </c>
      <c r="BK122" s="51">
        <v>2.5</v>
      </c>
      <c r="BL122" s="51">
        <v>50</v>
      </c>
      <c r="BM122" s="51">
        <v>50</v>
      </c>
      <c r="BN122" s="51">
        <v>14</v>
      </c>
      <c r="BO122" s="51">
        <v>1</v>
      </c>
      <c r="BP122" s="51">
        <v>1</v>
      </c>
      <c r="BQ122" s="51"/>
      <c r="BR122" s="51"/>
      <c r="BS122" s="51"/>
      <c r="BT122" s="51"/>
      <c r="BU122" s="39">
        <v>1</v>
      </c>
      <c r="BY122" s="39" t="s">
        <v>667</v>
      </c>
      <c r="CB122" s="39" t="s">
        <v>673</v>
      </c>
      <c r="CD122" s="39">
        <v>2.5</v>
      </c>
      <c r="CE122" s="39">
        <v>3.5</v>
      </c>
    </row>
    <row r="123" spans="3:83" x14ac:dyDescent="0.25">
      <c r="C123" s="39" t="s">
        <v>657</v>
      </c>
      <c r="D123" s="39" t="s">
        <v>668</v>
      </c>
      <c r="G123" s="39">
        <v>6</v>
      </c>
      <c r="J123" s="39">
        <v>6</v>
      </c>
      <c r="L123" s="39">
        <v>13</v>
      </c>
      <c r="M123" s="39">
        <v>2</v>
      </c>
      <c r="N123" t="s">
        <v>677</v>
      </c>
      <c r="AA123" s="85"/>
      <c r="BC123" s="39">
        <v>9</v>
      </c>
      <c r="BE123" s="39" t="s">
        <v>668</v>
      </c>
      <c r="BF123" s="39">
        <v>230</v>
      </c>
      <c r="BG123" s="39">
        <v>100</v>
      </c>
      <c r="BH123" s="39">
        <v>690</v>
      </c>
      <c r="BK123" s="51">
        <v>2.5</v>
      </c>
      <c r="BL123" s="51">
        <v>50</v>
      </c>
      <c r="BM123" s="51">
        <v>50</v>
      </c>
      <c r="BN123" s="51">
        <v>14</v>
      </c>
      <c r="BO123" s="51">
        <v>1</v>
      </c>
      <c r="BP123" s="51">
        <v>1</v>
      </c>
      <c r="BQ123" s="51"/>
      <c r="BR123" s="51"/>
      <c r="BS123" s="51"/>
      <c r="BT123" s="51"/>
      <c r="BU123" s="51">
        <v>1</v>
      </c>
      <c r="BV123" s="51"/>
      <c r="BW123" s="51"/>
      <c r="BY123" s="39" t="s">
        <v>668</v>
      </c>
      <c r="BZ123" s="51"/>
      <c r="CA123" s="51"/>
      <c r="CB123" s="39" t="s">
        <v>673</v>
      </c>
      <c r="CD123" s="39">
        <v>2.5</v>
      </c>
      <c r="CE123" s="39">
        <v>3.5</v>
      </c>
    </row>
    <row r="124" spans="3:83" x14ac:dyDescent="0.25">
      <c r="C124" s="39" t="s">
        <v>657</v>
      </c>
      <c r="D124" s="39" t="s">
        <v>161</v>
      </c>
      <c r="N124"/>
      <c r="T124" s="39" t="s">
        <v>617</v>
      </c>
      <c r="U124" s="39" t="s">
        <v>617</v>
      </c>
      <c r="V124" s="39" t="s">
        <v>618</v>
      </c>
      <c r="AA124" s="85"/>
      <c r="BK124" s="51"/>
      <c r="BL124" s="51"/>
      <c r="BM124" s="51"/>
      <c r="BN124" s="51"/>
      <c r="BO124" s="51"/>
      <c r="BP124" s="51"/>
    </row>
    <row r="125" spans="3:83" x14ac:dyDescent="0.25">
      <c r="C125" s="39" t="s">
        <v>657</v>
      </c>
      <c r="D125" s="39" t="s">
        <v>616</v>
      </c>
      <c r="N125"/>
      <c r="AA125" s="85"/>
      <c r="BK125" s="51"/>
      <c r="BL125" s="51"/>
      <c r="BM125" s="51"/>
      <c r="BN125" s="51"/>
      <c r="BO125" s="51"/>
      <c r="BP125" s="51"/>
    </row>
    <row r="126" spans="3:83" x14ac:dyDescent="0.25">
      <c r="N126"/>
    </row>
    <row r="127" spans="3:83" x14ac:dyDescent="0.25">
      <c r="C127" s="39" t="s">
        <v>658</v>
      </c>
      <c r="D127" s="39" t="s">
        <v>612</v>
      </c>
      <c r="G127" s="39">
        <v>1</v>
      </c>
      <c r="J127" s="39">
        <v>1</v>
      </c>
      <c r="L127" s="39">
        <v>13</v>
      </c>
      <c r="M127" s="39">
        <v>3</v>
      </c>
      <c r="N127" t="s">
        <v>671</v>
      </c>
      <c r="AA127" s="85"/>
      <c r="BC127" s="39">
        <v>8</v>
      </c>
      <c r="BE127" s="39" t="s">
        <v>612</v>
      </c>
      <c r="BF127" s="39">
        <v>230</v>
      </c>
      <c r="BG127" s="39">
        <v>100</v>
      </c>
      <c r="BH127" s="39">
        <v>690</v>
      </c>
      <c r="BK127" s="51">
        <v>2.5</v>
      </c>
      <c r="BL127" s="51">
        <v>50</v>
      </c>
      <c r="BM127" s="51">
        <v>50</v>
      </c>
      <c r="BN127" s="51">
        <v>14</v>
      </c>
      <c r="BO127" s="51">
        <v>1</v>
      </c>
      <c r="BP127" s="51">
        <v>1</v>
      </c>
      <c r="BQ127" s="51"/>
      <c r="BR127" s="51"/>
      <c r="BS127" s="51"/>
      <c r="BT127" s="51"/>
      <c r="BU127" s="39">
        <v>1</v>
      </c>
      <c r="BY127" s="39" t="s">
        <v>612</v>
      </c>
      <c r="CB127" s="39" t="s">
        <v>673</v>
      </c>
      <c r="CD127" s="39">
        <v>2.5</v>
      </c>
      <c r="CE127" s="39">
        <v>3.5</v>
      </c>
    </row>
    <row r="128" spans="3:83" x14ac:dyDescent="0.25">
      <c r="C128" s="39" t="s">
        <v>658</v>
      </c>
      <c r="D128" s="39" t="s">
        <v>613</v>
      </c>
      <c r="G128" s="39">
        <v>2</v>
      </c>
      <c r="J128" s="39">
        <v>2</v>
      </c>
      <c r="L128" s="39">
        <v>13</v>
      </c>
      <c r="M128" s="39">
        <v>2</v>
      </c>
      <c r="N128" t="s">
        <v>672</v>
      </c>
      <c r="AA128" s="85"/>
      <c r="BC128" s="39">
        <v>9</v>
      </c>
      <c r="BE128" s="39" t="s">
        <v>613</v>
      </c>
      <c r="BF128" s="39">
        <v>230</v>
      </c>
      <c r="BG128" s="39">
        <v>100</v>
      </c>
      <c r="BH128" s="39">
        <v>690</v>
      </c>
      <c r="BK128" s="51">
        <v>2.5</v>
      </c>
      <c r="BL128" s="51">
        <v>50</v>
      </c>
      <c r="BM128" s="51">
        <v>50</v>
      </c>
      <c r="BN128" s="51">
        <v>14</v>
      </c>
      <c r="BO128" s="51">
        <v>1</v>
      </c>
      <c r="BP128" s="51">
        <v>1</v>
      </c>
      <c r="BQ128" s="51"/>
      <c r="BR128" s="51"/>
      <c r="BS128" s="51"/>
      <c r="BT128" s="51"/>
      <c r="BU128" s="51">
        <v>1</v>
      </c>
      <c r="BV128" s="51"/>
      <c r="BW128" s="51"/>
      <c r="BY128" s="39" t="s">
        <v>613</v>
      </c>
      <c r="BZ128" s="51"/>
      <c r="CA128" s="51"/>
      <c r="CB128" s="39" t="s">
        <v>673</v>
      </c>
      <c r="CD128" s="39">
        <v>2.5</v>
      </c>
      <c r="CE128" s="39">
        <v>3.5</v>
      </c>
    </row>
    <row r="129" spans="3:83" x14ac:dyDescent="0.25">
      <c r="C129" s="39" t="s">
        <v>658</v>
      </c>
      <c r="D129" s="39" t="s">
        <v>614</v>
      </c>
      <c r="G129" s="39">
        <v>3</v>
      </c>
      <c r="J129" s="39">
        <v>3</v>
      </c>
      <c r="L129" s="39">
        <v>13</v>
      </c>
      <c r="M129" s="39">
        <v>3</v>
      </c>
      <c r="N129" t="s">
        <v>674</v>
      </c>
      <c r="AA129" s="85"/>
      <c r="BC129" s="39">
        <v>8</v>
      </c>
      <c r="BE129" s="39" t="s">
        <v>614</v>
      </c>
      <c r="BF129" s="39">
        <v>230</v>
      </c>
      <c r="BG129" s="39">
        <v>100</v>
      </c>
      <c r="BH129" s="39">
        <v>690</v>
      </c>
      <c r="BK129" s="51">
        <v>2.5</v>
      </c>
      <c r="BL129" s="51">
        <v>50</v>
      </c>
      <c r="BM129" s="51">
        <v>50</v>
      </c>
      <c r="BN129" s="51">
        <v>14</v>
      </c>
      <c r="BO129" s="51">
        <v>1</v>
      </c>
      <c r="BP129" s="51">
        <v>1</v>
      </c>
      <c r="BQ129" s="51"/>
      <c r="BR129" s="51"/>
      <c r="BS129" s="51"/>
      <c r="BT129" s="51"/>
      <c r="BU129" s="39">
        <v>1</v>
      </c>
      <c r="BY129" s="39" t="s">
        <v>614</v>
      </c>
      <c r="CB129" s="39" t="s">
        <v>673</v>
      </c>
      <c r="CD129" s="39">
        <v>2.5</v>
      </c>
      <c r="CE129" s="39">
        <v>3.5</v>
      </c>
    </row>
    <row r="130" spans="3:83" x14ac:dyDescent="0.25">
      <c r="C130" s="39" t="s">
        <v>658</v>
      </c>
      <c r="D130" s="39" t="s">
        <v>615</v>
      </c>
      <c r="G130" s="39">
        <v>4</v>
      </c>
      <c r="J130" s="39">
        <v>4</v>
      </c>
      <c r="L130" s="39">
        <v>13</v>
      </c>
      <c r="M130" s="39">
        <v>2</v>
      </c>
      <c r="N130" t="s">
        <v>675</v>
      </c>
      <c r="AA130" s="85"/>
      <c r="BC130" s="39">
        <v>9</v>
      </c>
      <c r="BE130" s="39" t="s">
        <v>615</v>
      </c>
      <c r="BF130" s="39">
        <v>230</v>
      </c>
      <c r="BG130" s="39">
        <v>100</v>
      </c>
      <c r="BH130" s="39">
        <v>690</v>
      </c>
      <c r="BK130" s="51">
        <v>2.5</v>
      </c>
      <c r="BL130" s="51">
        <v>50</v>
      </c>
      <c r="BM130" s="51">
        <v>50</v>
      </c>
      <c r="BN130" s="51">
        <v>14</v>
      </c>
      <c r="BO130" s="51">
        <v>1</v>
      </c>
      <c r="BP130" s="51">
        <v>1</v>
      </c>
      <c r="BQ130" s="51"/>
      <c r="BR130" s="51"/>
      <c r="BS130" s="51"/>
      <c r="BT130" s="51"/>
      <c r="BU130" s="51">
        <v>1</v>
      </c>
      <c r="BV130" s="51"/>
      <c r="BW130" s="51"/>
      <c r="BY130" s="39" t="s">
        <v>615</v>
      </c>
      <c r="BZ130" s="51"/>
      <c r="CA130" s="51"/>
      <c r="CB130" s="39" t="s">
        <v>673</v>
      </c>
      <c r="CD130" s="39">
        <v>2.5</v>
      </c>
      <c r="CE130" s="39">
        <v>3.5</v>
      </c>
    </row>
    <row r="131" spans="3:83" x14ac:dyDescent="0.25">
      <c r="C131" s="39" t="s">
        <v>658</v>
      </c>
      <c r="D131" s="39" t="s">
        <v>667</v>
      </c>
      <c r="G131" s="39">
        <v>5</v>
      </c>
      <c r="J131" s="39">
        <v>5</v>
      </c>
      <c r="L131" s="39">
        <v>13</v>
      </c>
      <c r="M131" s="39">
        <v>3</v>
      </c>
      <c r="N131" t="s">
        <v>676</v>
      </c>
      <c r="AA131" s="85"/>
      <c r="BC131" s="39">
        <v>8</v>
      </c>
      <c r="BE131" s="39" t="s">
        <v>667</v>
      </c>
      <c r="BF131" s="39">
        <v>230</v>
      </c>
      <c r="BG131" s="39">
        <v>100</v>
      </c>
      <c r="BH131" s="39">
        <v>690</v>
      </c>
      <c r="BK131" s="51">
        <v>2.5</v>
      </c>
      <c r="BL131" s="51">
        <v>50</v>
      </c>
      <c r="BM131" s="51">
        <v>50</v>
      </c>
      <c r="BN131" s="51">
        <v>14</v>
      </c>
      <c r="BO131" s="51">
        <v>1</v>
      </c>
      <c r="BP131" s="51">
        <v>1</v>
      </c>
      <c r="BQ131" s="51"/>
      <c r="BR131" s="51"/>
      <c r="BS131" s="51"/>
      <c r="BT131" s="51"/>
      <c r="BU131" s="39">
        <v>1</v>
      </c>
      <c r="BY131" s="39" t="s">
        <v>667</v>
      </c>
      <c r="CB131" s="39" t="s">
        <v>673</v>
      </c>
      <c r="CD131" s="39">
        <v>2.5</v>
      </c>
      <c r="CE131" s="39">
        <v>3.5</v>
      </c>
    </row>
    <row r="132" spans="3:83" x14ac:dyDescent="0.25">
      <c r="C132" s="39" t="s">
        <v>658</v>
      </c>
      <c r="D132" s="39" t="s">
        <v>668</v>
      </c>
      <c r="G132" s="39">
        <v>6</v>
      </c>
      <c r="J132" s="39">
        <v>6</v>
      </c>
      <c r="L132" s="39">
        <v>13</v>
      </c>
      <c r="M132" s="39">
        <v>2</v>
      </c>
      <c r="N132" t="s">
        <v>677</v>
      </c>
      <c r="AA132" s="85"/>
      <c r="BC132" s="39">
        <v>9</v>
      </c>
      <c r="BE132" s="39" t="s">
        <v>668</v>
      </c>
      <c r="BF132" s="39">
        <v>230</v>
      </c>
      <c r="BG132" s="39">
        <v>100</v>
      </c>
      <c r="BH132" s="39">
        <v>690</v>
      </c>
      <c r="BK132" s="51">
        <v>2.5</v>
      </c>
      <c r="BL132" s="51">
        <v>50</v>
      </c>
      <c r="BM132" s="51">
        <v>50</v>
      </c>
      <c r="BN132" s="51">
        <v>14</v>
      </c>
      <c r="BO132" s="51">
        <v>1</v>
      </c>
      <c r="BP132" s="51">
        <v>1</v>
      </c>
      <c r="BQ132" s="51"/>
      <c r="BR132" s="51"/>
      <c r="BS132" s="51"/>
      <c r="BT132" s="51"/>
      <c r="BU132" s="51">
        <v>1</v>
      </c>
      <c r="BV132" s="51"/>
      <c r="BW132" s="51"/>
      <c r="BY132" s="39" t="s">
        <v>668</v>
      </c>
      <c r="BZ132" s="51"/>
      <c r="CA132" s="51"/>
      <c r="CB132" s="39" t="s">
        <v>673</v>
      </c>
      <c r="CD132" s="39">
        <v>2.5</v>
      </c>
      <c r="CE132" s="39">
        <v>3.5</v>
      </c>
    </row>
    <row r="133" spans="3:83" x14ac:dyDescent="0.25">
      <c r="C133" s="39" t="s">
        <v>658</v>
      </c>
      <c r="D133" s="39" t="s">
        <v>669</v>
      </c>
      <c r="G133" s="39">
        <v>7</v>
      </c>
      <c r="J133" s="39">
        <v>7</v>
      </c>
      <c r="L133" s="39">
        <v>13</v>
      </c>
      <c r="M133" s="39">
        <v>3</v>
      </c>
      <c r="N133" t="s">
        <v>678</v>
      </c>
      <c r="AA133" s="85"/>
      <c r="BC133" s="39">
        <v>8</v>
      </c>
      <c r="BE133" s="39" t="s">
        <v>669</v>
      </c>
      <c r="BF133" s="39">
        <v>230</v>
      </c>
      <c r="BG133" s="39">
        <v>100</v>
      </c>
      <c r="BH133" s="39">
        <v>690</v>
      </c>
      <c r="BK133" s="51">
        <v>2.5</v>
      </c>
      <c r="BL133" s="51">
        <v>50</v>
      </c>
      <c r="BM133" s="51">
        <v>50</v>
      </c>
      <c r="BN133" s="51">
        <v>14</v>
      </c>
      <c r="BO133" s="51">
        <v>1</v>
      </c>
      <c r="BP133" s="51">
        <v>1</v>
      </c>
      <c r="BQ133" s="51"/>
      <c r="BR133" s="51"/>
      <c r="BS133" s="51"/>
      <c r="BT133" s="51"/>
      <c r="BU133" s="39">
        <v>1</v>
      </c>
      <c r="BY133" s="39" t="s">
        <v>669</v>
      </c>
      <c r="CB133" s="39" t="s">
        <v>673</v>
      </c>
      <c r="CD133" s="39">
        <v>2.5</v>
      </c>
      <c r="CE133" s="39">
        <v>3.5</v>
      </c>
    </row>
    <row r="134" spans="3:83" x14ac:dyDescent="0.25">
      <c r="C134" s="39" t="s">
        <v>658</v>
      </c>
      <c r="D134" s="39" t="s">
        <v>670</v>
      </c>
      <c r="G134" s="39">
        <v>8</v>
      </c>
      <c r="J134" s="39">
        <v>8</v>
      </c>
      <c r="L134" s="39">
        <v>13</v>
      </c>
      <c r="M134" s="39">
        <v>2</v>
      </c>
      <c r="N134" t="s">
        <v>679</v>
      </c>
      <c r="AA134" s="85"/>
      <c r="BC134" s="39">
        <v>9</v>
      </c>
      <c r="BE134" s="39" t="s">
        <v>670</v>
      </c>
      <c r="BF134" s="39">
        <v>230</v>
      </c>
      <c r="BG134" s="39">
        <v>100</v>
      </c>
      <c r="BH134" s="39">
        <v>690</v>
      </c>
      <c r="BK134" s="51">
        <v>2.5</v>
      </c>
      <c r="BL134" s="51">
        <v>50</v>
      </c>
      <c r="BM134" s="51">
        <v>50</v>
      </c>
      <c r="BN134" s="51">
        <v>14</v>
      </c>
      <c r="BO134" s="51">
        <v>1</v>
      </c>
      <c r="BP134" s="51">
        <v>1</v>
      </c>
      <c r="BQ134" s="51"/>
      <c r="BR134" s="51"/>
      <c r="BS134" s="51"/>
      <c r="BT134" s="51"/>
      <c r="BU134" s="51">
        <v>1</v>
      </c>
      <c r="BV134" s="51"/>
      <c r="BW134" s="51"/>
      <c r="BY134" s="39" t="s">
        <v>670</v>
      </c>
      <c r="BZ134" s="51"/>
      <c r="CA134" s="51"/>
      <c r="CB134" s="39" t="s">
        <v>673</v>
      </c>
      <c r="CD134" s="39">
        <v>2.5</v>
      </c>
      <c r="CE134" s="39">
        <v>3.5</v>
      </c>
    </row>
    <row r="135" spans="3:83" x14ac:dyDescent="0.25">
      <c r="C135" s="39" t="s">
        <v>658</v>
      </c>
      <c r="D135" s="39" t="s">
        <v>161</v>
      </c>
      <c r="N135"/>
      <c r="T135" s="39" t="s">
        <v>617</v>
      </c>
      <c r="U135" s="39" t="s">
        <v>617</v>
      </c>
      <c r="V135" s="39" t="s">
        <v>618</v>
      </c>
      <c r="AA135" s="85"/>
      <c r="BK135" s="51"/>
      <c r="BL135" s="51"/>
      <c r="BM135" s="51"/>
      <c r="BN135" s="51"/>
      <c r="BO135" s="51"/>
      <c r="BP135" s="51"/>
    </row>
    <row r="136" spans="3:83" x14ac:dyDescent="0.25">
      <c r="C136" s="39" t="s">
        <v>658</v>
      </c>
      <c r="D136" s="39" t="s">
        <v>616</v>
      </c>
      <c r="N136"/>
      <c r="AA136" s="85"/>
      <c r="BK136" s="51"/>
      <c r="BL136" s="51"/>
      <c r="BM136" s="51"/>
      <c r="BN136" s="51"/>
      <c r="BO136" s="51"/>
      <c r="BP136" s="51"/>
    </row>
    <row r="137" spans="3:83" x14ac:dyDescent="0.25">
      <c r="N137"/>
      <c r="AA137" s="85"/>
      <c r="BK137" s="51"/>
      <c r="BL137" s="51"/>
      <c r="BM137" s="51"/>
      <c r="BN137" s="51"/>
      <c r="BO137" s="51"/>
      <c r="BP137" s="51"/>
      <c r="BQ137" s="51"/>
      <c r="BR137" s="51"/>
      <c r="BS137" s="51"/>
      <c r="BT137" s="51"/>
      <c r="BU137" s="51"/>
      <c r="BV137" s="51"/>
      <c r="BW137" s="51"/>
      <c r="BZ137" s="51"/>
      <c r="CA137" s="51"/>
    </row>
    <row r="138" spans="3:83" x14ac:dyDescent="0.25">
      <c r="C138" s="39" t="s">
        <v>659</v>
      </c>
      <c r="D138" s="39" t="s">
        <v>612</v>
      </c>
      <c r="G138" s="39">
        <v>1</v>
      </c>
      <c r="J138" s="39">
        <v>1</v>
      </c>
      <c r="L138" s="39">
        <v>13</v>
      </c>
      <c r="M138" s="39">
        <v>3</v>
      </c>
      <c r="N138" t="s">
        <v>671</v>
      </c>
      <c r="AA138" s="85"/>
      <c r="BC138" s="39">
        <v>8</v>
      </c>
      <c r="BE138" s="39" t="s">
        <v>612</v>
      </c>
      <c r="BF138" s="39">
        <v>230</v>
      </c>
      <c r="BG138" s="39">
        <v>125</v>
      </c>
      <c r="BH138" s="39">
        <v>690</v>
      </c>
      <c r="BK138" s="51">
        <v>2.5</v>
      </c>
      <c r="BL138" s="51">
        <v>50</v>
      </c>
      <c r="BM138" s="51">
        <v>50</v>
      </c>
      <c r="BN138" s="51">
        <v>14</v>
      </c>
      <c r="BO138" s="51">
        <v>1</v>
      </c>
      <c r="BP138" s="51">
        <v>1</v>
      </c>
      <c r="BQ138" s="51"/>
      <c r="BR138" s="51"/>
      <c r="BS138" s="51"/>
      <c r="BT138" s="51"/>
      <c r="BU138" s="39">
        <v>1</v>
      </c>
      <c r="BY138" s="39" t="s">
        <v>612</v>
      </c>
      <c r="CB138" s="39" t="s">
        <v>673</v>
      </c>
      <c r="CD138" s="39">
        <v>2.5</v>
      </c>
      <c r="CE138" s="39">
        <v>3.5</v>
      </c>
    </row>
    <row r="139" spans="3:83" x14ac:dyDescent="0.25">
      <c r="C139" s="39" t="s">
        <v>659</v>
      </c>
      <c r="D139" s="39" t="s">
        <v>613</v>
      </c>
      <c r="G139" s="39">
        <v>2</v>
      </c>
      <c r="J139" s="39">
        <v>2</v>
      </c>
      <c r="L139" s="39">
        <v>13</v>
      </c>
      <c r="M139" s="39">
        <v>2</v>
      </c>
      <c r="N139" t="s">
        <v>672</v>
      </c>
      <c r="AA139" s="85"/>
      <c r="BC139" s="39">
        <v>9</v>
      </c>
      <c r="BE139" s="39" t="s">
        <v>613</v>
      </c>
      <c r="BF139" s="39">
        <v>230</v>
      </c>
      <c r="BG139" s="39">
        <v>125</v>
      </c>
      <c r="BH139" s="39">
        <v>690</v>
      </c>
      <c r="BK139" s="51">
        <v>2.5</v>
      </c>
      <c r="BL139" s="51">
        <v>50</v>
      </c>
      <c r="BM139" s="51">
        <v>50</v>
      </c>
      <c r="BN139" s="51">
        <v>14</v>
      </c>
      <c r="BO139" s="51">
        <v>1</v>
      </c>
      <c r="BP139" s="51">
        <v>1</v>
      </c>
      <c r="BQ139" s="51"/>
      <c r="BR139" s="51"/>
      <c r="BS139" s="51"/>
      <c r="BT139" s="51"/>
      <c r="BU139" s="51">
        <v>1</v>
      </c>
      <c r="BV139" s="51"/>
      <c r="BW139" s="51"/>
      <c r="BY139" s="39" t="s">
        <v>613</v>
      </c>
      <c r="BZ139" s="51"/>
      <c r="CA139" s="51"/>
      <c r="CB139" s="39" t="s">
        <v>673</v>
      </c>
      <c r="CD139" s="39">
        <v>2.5</v>
      </c>
      <c r="CE139" s="39">
        <v>3.5</v>
      </c>
    </row>
    <row r="140" spans="3:83" x14ac:dyDescent="0.25">
      <c r="C140" s="39" t="s">
        <v>659</v>
      </c>
      <c r="D140" s="39" t="s">
        <v>161</v>
      </c>
      <c r="N140"/>
      <c r="T140" s="39" t="s">
        <v>617</v>
      </c>
      <c r="U140" s="39" t="s">
        <v>617</v>
      </c>
      <c r="V140" s="39" t="s">
        <v>618</v>
      </c>
      <c r="AA140" s="85"/>
      <c r="BK140" s="51"/>
      <c r="BL140" s="51"/>
      <c r="BM140" s="51"/>
      <c r="BN140" s="51"/>
      <c r="BO140" s="51"/>
      <c r="BP140" s="51"/>
    </row>
    <row r="141" spans="3:83" x14ac:dyDescent="0.25">
      <c r="C141" s="39" t="s">
        <v>659</v>
      </c>
      <c r="D141" s="39" t="s">
        <v>616</v>
      </c>
      <c r="N141"/>
      <c r="AA141" s="85"/>
      <c r="BK141" s="51"/>
      <c r="BL141" s="51"/>
      <c r="BM141" s="51"/>
      <c r="BN141" s="51"/>
      <c r="BO141" s="51"/>
      <c r="BP141" s="51"/>
    </row>
    <row r="142" spans="3:83" x14ac:dyDescent="0.25">
      <c r="N142"/>
      <c r="AA142" s="85"/>
    </row>
    <row r="143" spans="3:83" x14ac:dyDescent="0.25">
      <c r="C143" s="39" t="s">
        <v>660</v>
      </c>
      <c r="D143" s="39" t="s">
        <v>612</v>
      </c>
      <c r="G143" s="39">
        <v>1</v>
      </c>
      <c r="J143" s="39">
        <v>1</v>
      </c>
      <c r="L143" s="39">
        <v>13</v>
      </c>
      <c r="M143" s="39">
        <v>3</v>
      </c>
      <c r="N143" t="s">
        <v>671</v>
      </c>
      <c r="AA143" s="85"/>
      <c r="BC143" s="39">
        <v>8</v>
      </c>
      <c r="BE143" s="39" t="s">
        <v>612</v>
      </c>
      <c r="BF143" s="39">
        <v>230</v>
      </c>
      <c r="BG143" s="39">
        <v>125</v>
      </c>
      <c r="BH143" s="39">
        <v>690</v>
      </c>
      <c r="BK143" s="51">
        <v>2.5</v>
      </c>
      <c r="BL143" s="51">
        <v>50</v>
      </c>
      <c r="BM143" s="51">
        <v>50</v>
      </c>
      <c r="BN143" s="51">
        <v>14</v>
      </c>
      <c r="BO143" s="51">
        <v>1</v>
      </c>
      <c r="BP143" s="51">
        <v>1</v>
      </c>
      <c r="BQ143" s="51"/>
      <c r="BR143" s="51"/>
      <c r="BS143" s="51"/>
      <c r="BT143" s="51"/>
      <c r="BU143" s="39">
        <v>1</v>
      </c>
      <c r="BY143" s="39" t="s">
        <v>612</v>
      </c>
      <c r="CB143" s="39" t="s">
        <v>673</v>
      </c>
      <c r="CD143" s="39">
        <v>2.5</v>
      </c>
      <c r="CE143" s="39">
        <v>3.5</v>
      </c>
    </row>
    <row r="144" spans="3:83" x14ac:dyDescent="0.25">
      <c r="C144" s="39" t="s">
        <v>660</v>
      </c>
      <c r="D144" s="39" t="s">
        <v>613</v>
      </c>
      <c r="G144" s="39">
        <v>2</v>
      </c>
      <c r="J144" s="39">
        <v>2</v>
      </c>
      <c r="L144" s="39">
        <v>13</v>
      </c>
      <c r="M144" s="39">
        <v>2</v>
      </c>
      <c r="N144" t="s">
        <v>672</v>
      </c>
      <c r="AA144" s="85"/>
      <c r="BC144" s="39">
        <v>9</v>
      </c>
      <c r="BE144" s="39" t="s">
        <v>613</v>
      </c>
      <c r="BF144" s="39">
        <v>230</v>
      </c>
      <c r="BG144" s="39">
        <v>125</v>
      </c>
      <c r="BH144" s="39">
        <v>690</v>
      </c>
      <c r="BK144" s="51">
        <v>2.5</v>
      </c>
      <c r="BL144" s="51">
        <v>50</v>
      </c>
      <c r="BM144" s="51">
        <v>50</v>
      </c>
      <c r="BN144" s="51">
        <v>14</v>
      </c>
      <c r="BO144" s="51">
        <v>1</v>
      </c>
      <c r="BP144" s="51">
        <v>1</v>
      </c>
      <c r="BQ144" s="51"/>
      <c r="BR144" s="51"/>
      <c r="BS144" s="51"/>
      <c r="BT144" s="51"/>
      <c r="BU144" s="51">
        <v>1</v>
      </c>
      <c r="BV144" s="51"/>
      <c r="BW144" s="51"/>
      <c r="BY144" s="39" t="s">
        <v>613</v>
      </c>
      <c r="BZ144" s="51"/>
      <c r="CA144" s="51"/>
      <c r="CB144" s="39" t="s">
        <v>673</v>
      </c>
      <c r="CD144" s="39">
        <v>2.5</v>
      </c>
      <c r="CE144" s="39">
        <v>3.5</v>
      </c>
    </row>
    <row r="145" spans="3:83" x14ac:dyDescent="0.25">
      <c r="C145" s="39" t="s">
        <v>660</v>
      </c>
      <c r="D145" s="39" t="s">
        <v>614</v>
      </c>
      <c r="G145" s="39">
        <v>3</v>
      </c>
      <c r="J145" s="39">
        <v>3</v>
      </c>
      <c r="L145" s="39">
        <v>13</v>
      </c>
      <c r="M145" s="39">
        <v>3</v>
      </c>
      <c r="N145" t="s">
        <v>674</v>
      </c>
      <c r="AA145" s="85"/>
      <c r="BC145" s="39">
        <v>8</v>
      </c>
      <c r="BE145" s="39" t="s">
        <v>614</v>
      </c>
      <c r="BF145" s="39">
        <v>230</v>
      </c>
      <c r="BG145" s="39">
        <v>125</v>
      </c>
      <c r="BH145" s="39">
        <v>690</v>
      </c>
      <c r="BK145" s="51">
        <v>2.5</v>
      </c>
      <c r="BL145" s="51">
        <v>50</v>
      </c>
      <c r="BM145" s="51">
        <v>50</v>
      </c>
      <c r="BN145" s="51">
        <v>14</v>
      </c>
      <c r="BO145" s="51">
        <v>1</v>
      </c>
      <c r="BP145" s="51">
        <v>1</v>
      </c>
      <c r="BQ145" s="51"/>
      <c r="BR145" s="51"/>
      <c r="BS145" s="51"/>
      <c r="BT145" s="51"/>
      <c r="BU145" s="39">
        <v>1</v>
      </c>
      <c r="BY145" s="39" t="s">
        <v>614</v>
      </c>
      <c r="CB145" s="39" t="s">
        <v>673</v>
      </c>
      <c r="CD145" s="39">
        <v>2.5</v>
      </c>
      <c r="CE145" s="39">
        <v>3.5</v>
      </c>
    </row>
    <row r="146" spans="3:83" x14ac:dyDescent="0.25">
      <c r="C146" s="39" t="s">
        <v>660</v>
      </c>
      <c r="D146" s="39" t="s">
        <v>615</v>
      </c>
      <c r="G146" s="39">
        <v>4</v>
      </c>
      <c r="J146" s="39">
        <v>4</v>
      </c>
      <c r="L146" s="39">
        <v>13</v>
      </c>
      <c r="M146" s="39">
        <v>2</v>
      </c>
      <c r="N146" t="s">
        <v>675</v>
      </c>
      <c r="AA146" s="85"/>
      <c r="BC146" s="39">
        <v>9</v>
      </c>
      <c r="BE146" s="39" t="s">
        <v>615</v>
      </c>
      <c r="BF146" s="39">
        <v>230</v>
      </c>
      <c r="BG146" s="39">
        <v>125</v>
      </c>
      <c r="BH146" s="39">
        <v>690</v>
      </c>
      <c r="BK146" s="51">
        <v>2.5</v>
      </c>
      <c r="BL146" s="51">
        <v>50</v>
      </c>
      <c r="BM146" s="51">
        <v>50</v>
      </c>
      <c r="BN146" s="51">
        <v>14</v>
      </c>
      <c r="BO146" s="51">
        <v>1</v>
      </c>
      <c r="BP146" s="51">
        <v>1</v>
      </c>
      <c r="BQ146" s="51"/>
      <c r="BR146" s="51"/>
      <c r="BS146" s="51"/>
      <c r="BT146" s="51"/>
      <c r="BU146" s="51">
        <v>1</v>
      </c>
      <c r="BV146" s="51"/>
      <c r="BW146" s="51"/>
      <c r="BY146" s="39" t="s">
        <v>615</v>
      </c>
      <c r="BZ146" s="51"/>
      <c r="CA146" s="51"/>
      <c r="CB146" s="39" t="s">
        <v>673</v>
      </c>
      <c r="CD146" s="39">
        <v>2.5</v>
      </c>
      <c r="CE146" s="39">
        <v>3.5</v>
      </c>
    </row>
    <row r="147" spans="3:83" x14ac:dyDescent="0.25">
      <c r="C147" s="39" t="s">
        <v>660</v>
      </c>
      <c r="D147" s="39" t="s">
        <v>161</v>
      </c>
      <c r="N147"/>
      <c r="T147" s="39" t="s">
        <v>617</v>
      </c>
      <c r="U147" s="39" t="s">
        <v>617</v>
      </c>
      <c r="V147" s="39" t="s">
        <v>618</v>
      </c>
      <c r="AA147" s="85"/>
      <c r="BK147" s="51"/>
      <c r="BL147" s="51"/>
      <c r="BM147" s="51"/>
      <c r="BN147" s="51"/>
      <c r="BO147" s="51"/>
      <c r="BP147" s="51"/>
    </row>
    <row r="148" spans="3:83" x14ac:dyDescent="0.25">
      <c r="C148" s="39" t="s">
        <v>660</v>
      </c>
      <c r="D148" s="39" t="s">
        <v>616</v>
      </c>
      <c r="N148"/>
      <c r="AA148" s="85"/>
      <c r="BK148" s="51"/>
      <c r="BL148" s="51"/>
      <c r="BM148" s="51"/>
      <c r="BN148" s="51"/>
      <c r="BO148" s="51"/>
      <c r="BP148" s="51"/>
    </row>
    <row r="149" spans="3:83" x14ac:dyDescent="0.25">
      <c r="C149" s="40"/>
      <c r="N149"/>
      <c r="AA149" s="85"/>
    </row>
    <row r="150" spans="3:83" x14ac:dyDescent="0.25">
      <c r="C150" s="39" t="s">
        <v>661</v>
      </c>
      <c r="D150" s="39" t="s">
        <v>612</v>
      </c>
      <c r="G150" s="39">
        <v>1</v>
      </c>
      <c r="J150" s="39">
        <v>1</v>
      </c>
      <c r="L150" s="39">
        <v>13</v>
      </c>
      <c r="M150" s="39">
        <v>3</v>
      </c>
      <c r="N150" t="s">
        <v>671</v>
      </c>
      <c r="AA150" s="85"/>
      <c r="BC150" s="39">
        <v>8</v>
      </c>
      <c r="BE150" s="39" t="s">
        <v>612</v>
      </c>
      <c r="BF150" s="39">
        <v>230</v>
      </c>
      <c r="BG150" s="39">
        <v>125</v>
      </c>
      <c r="BH150" s="39">
        <v>690</v>
      </c>
      <c r="BK150" s="51">
        <v>2.5</v>
      </c>
      <c r="BL150" s="51">
        <v>50</v>
      </c>
      <c r="BM150" s="51">
        <v>50</v>
      </c>
      <c r="BN150" s="51">
        <v>14</v>
      </c>
      <c r="BO150" s="51">
        <v>1</v>
      </c>
      <c r="BP150" s="51">
        <v>1</v>
      </c>
      <c r="BQ150" s="51"/>
      <c r="BR150" s="51"/>
      <c r="BS150" s="51"/>
      <c r="BT150" s="51"/>
      <c r="BU150" s="39">
        <v>1</v>
      </c>
      <c r="BY150" s="39" t="s">
        <v>612</v>
      </c>
      <c r="CB150" s="39" t="s">
        <v>673</v>
      </c>
      <c r="CD150" s="39">
        <v>2.5</v>
      </c>
      <c r="CE150" s="39">
        <v>3.5</v>
      </c>
    </row>
    <row r="151" spans="3:83" x14ac:dyDescent="0.25">
      <c r="C151" s="39" t="s">
        <v>661</v>
      </c>
      <c r="D151" s="39" t="s">
        <v>613</v>
      </c>
      <c r="G151" s="39">
        <v>2</v>
      </c>
      <c r="J151" s="39">
        <v>2</v>
      </c>
      <c r="L151" s="39">
        <v>13</v>
      </c>
      <c r="M151" s="39">
        <v>2</v>
      </c>
      <c r="N151" t="s">
        <v>672</v>
      </c>
      <c r="AA151" s="85"/>
      <c r="BC151" s="39">
        <v>9</v>
      </c>
      <c r="BE151" s="39" t="s">
        <v>613</v>
      </c>
      <c r="BF151" s="39">
        <v>230</v>
      </c>
      <c r="BG151" s="39">
        <v>125</v>
      </c>
      <c r="BH151" s="39">
        <v>690</v>
      </c>
      <c r="BK151" s="51">
        <v>2.5</v>
      </c>
      <c r="BL151" s="51">
        <v>50</v>
      </c>
      <c r="BM151" s="51">
        <v>50</v>
      </c>
      <c r="BN151" s="51">
        <v>14</v>
      </c>
      <c r="BO151" s="51">
        <v>1</v>
      </c>
      <c r="BP151" s="51">
        <v>1</v>
      </c>
      <c r="BQ151" s="51"/>
      <c r="BR151" s="51"/>
      <c r="BS151" s="51"/>
      <c r="BT151" s="51"/>
      <c r="BU151" s="51">
        <v>1</v>
      </c>
      <c r="BV151" s="51"/>
      <c r="BW151" s="51"/>
      <c r="BY151" s="39" t="s">
        <v>613</v>
      </c>
      <c r="BZ151" s="51"/>
      <c r="CA151" s="51"/>
      <c r="CB151" s="39" t="s">
        <v>673</v>
      </c>
      <c r="CD151" s="39">
        <v>2.5</v>
      </c>
      <c r="CE151" s="39">
        <v>3.5</v>
      </c>
    </row>
    <row r="152" spans="3:83" x14ac:dyDescent="0.25">
      <c r="C152" s="39" t="s">
        <v>661</v>
      </c>
      <c r="D152" s="39" t="s">
        <v>614</v>
      </c>
      <c r="G152" s="39">
        <v>3</v>
      </c>
      <c r="J152" s="39">
        <v>3</v>
      </c>
      <c r="L152" s="39">
        <v>13</v>
      </c>
      <c r="M152" s="39">
        <v>3</v>
      </c>
      <c r="N152" t="s">
        <v>674</v>
      </c>
      <c r="AA152" s="85"/>
      <c r="BC152" s="39">
        <v>8</v>
      </c>
      <c r="BE152" s="39" t="s">
        <v>614</v>
      </c>
      <c r="BF152" s="39">
        <v>230</v>
      </c>
      <c r="BG152" s="39">
        <v>125</v>
      </c>
      <c r="BH152" s="39">
        <v>690</v>
      </c>
      <c r="BK152" s="51">
        <v>2.5</v>
      </c>
      <c r="BL152" s="51">
        <v>50</v>
      </c>
      <c r="BM152" s="51">
        <v>50</v>
      </c>
      <c r="BN152" s="51">
        <v>14</v>
      </c>
      <c r="BO152" s="51">
        <v>1</v>
      </c>
      <c r="BP152" s="51">
        <v>1</v>
      </c>
      <c r="BQ152" s="51"/>
      <c r="BR152" s="51"/>
      <c r="BS152" s="51"/>
      <c r="BT152" s="51"/>
      <c r="BU152" s="39">
        <v>1</v>
      </c>
      <c r="BY152" s="39" t="s">
        <v>614</v>
      </c>
      <c r="CB152" s="39" t="s">
        <v>673</v>
      </c>
      <c r="CD152" s="39">
        <v>2.5</v>
      </c>
      <c r="CE152" s="39">
        <v>3.5</v>
      </c>
    </row>
    <row r="153" spans="3:83" x14ac:dyDescent="0.25">
      <c r="C153" s="39" t="s">
        <v>661</v>
      </c>
      <c r="D153" s="39" t="s">
        <v>615</v>
      </c>
      <c r="G153" s="39">
        <v>4</v>
      </c>
      <c r="J153" s="39">
        <v>4</v>
      </c>
      <c r="L153" s="39">
        <v>13</v>
      </c>
      <c r="M153" s="39">
        <v>2</v>
      </c>
      <c r="N153" t="s">
        <v>675</v>
      </c>
      <c r="AA153" s="85"/>
      <c r="BC153" s="39">
        <v>9</v>
      </c>
      <c r="BE153" s="39" t="s">
        <v>615</v>
      </c>
      <c r="BF153" s="39">
        <v>230</v>
      </c>
      <c r="BG153" s="39">
        <v>125</v>
      </c>
      <c r="BH153" s="39">
        <v>690</v>
      </c>
      <c r="BK153" s="51">
        <v>2.5</v>
      </c>
      <c r="BL153" s="51">
        <v>50</v>
      </c>
      <c r="BM153" s="51">
        <v>50</v>
      </c>
      <c r="BN153" s="51">
        <v>14</v>
      </c>
      <c r="BO153" s="51">
        <v>1</v>
      </c>
      <c r="BP153" s="51">
        <v>1</v>
      </c>
      <c r="BQ153" s="51"/>
      <c r="BR153" s="51"/>
      <c r="BS153" s="51"/>
      <c r="BT153" s="51"/>
      <c r="BU153" s="51">
        <v>1</v>
      </c>
      <c r="BV153" s="51"/>
      <c r="BW153" s="51"/>
      <c r="BY153" s="39" t="s">
        <v>615</v>
      </c>
      <c r="BZ153" s="51"/>
      <c r="CA153" s="51"/>
      <c r="CB153" s="39" t="s">
        <v>673</v>
      </c>
      <c r="CD153" s="39">
        <v>2.5</v>
      </c>
      <c r="CE153" s="39">
        <v>3.5</v>
      </c>
    </row>
    <row r="154" spans="3:83" x14ac:dyDescent="0.25">
      <c r="C154" s="39" t="s">
        <v>661</v>
      </c>
      <c r="D154" s="39" t="s">
        <v>667</v>
      </c>
      <c r="G154" s="39">
        <v>5</v>
      </c>
      <c r="J154" s="39">
        <v>5</v>
      </c>
      <c r="L154" s="39">
        <v>13</v>
      </c>
      <c r="M154" s="39">
        <v>3</v>
      </c>
      <c r="N154" t="s">
        <v>676</v>
      </c>
      <c r="AA154" s="85"/>
      <c r="BC154" s="39">
        <v>8</v>
      </c>
      <c r="BE154" s="39" t="s">
        <v>667</v>
      </c>
      <c r="BF154" s="39">
        <v>230</v>
      </c>
      <c r="BG154" s="39">
        <v>125</v>
      </c>
      <c r="BH154" s="39">
        <v>690</v>
      </c>
      <c r="BK154" s="51">
        <v>2.5</v>
      </c>
      <c r="BL154" s="51">
        <v>50</v>
      </c>
      <c r="BM154" s="51">
        <v>50</v>
      </c>
      <c r="BN154" s="51">
        <v>14</v>
      </c>
      <c r="BO154" s="51">
        <v>1</v>
      </c>
      <c r="BP154" s="51">
        <v>1</v>
      </c>
      <c r="BQ154" s="51"/>
      <c r="BR154" s="51"/>
      <c r="BS154" s="51"/>
      <c r="BT154" s="51"/>
      <c r="BU154" s="39">
        <v>1</v>
      </c>
      <c r="BY154" s="39" t="s">
        <v>667</v>
      </c>
      <c r="CB154" s="39" t="s">
        <v>673</v>
      </c>
      <c r="CD154" s="39">
        <v>2.5</v>
      </c>
      <c r="CE154" s="39">
        <v>3.5</v>
      </c>
    </row>
    <row r="155" spans="3:83" x14ac:dyDescent="0.25">
      <c r="C155" s="39" t="s">
        <v>661</v>
      </c>
      <c r="D155" s="39" t="s">
        <v>668</v>
      </c>
      <c r="G155" s="39">
        <v>6</v>
      </c>
      <c r="J155" s="39">
        <v>6</v>
      </c>
      <c r="L155" s="39">
        <v>13</v>
      </c>
      <c r="M155" s="39">
        <v>2</v>
      </c>
      <c r="N155" t="s">
        <v>677</v>
      </c>
      <c r="AA155" s="85"/>
      <c r="BC155" s="39">
        <v>9</v>
      </c>
      <c r="BE155" s="39" t="s">
        <v>668</v>
      </c>
      <c r="BF155" s="39">
        <v>230</v>
      </c>
      <c r="BG155" s="39">
        <v>125</v>
      </c>
      <c r="BH155" s="39">
        <v>690</v>
      </c>
      <c r="BK155" s="51">
        <v>2.5</v>
      </c>
      <c r="BL155" s="51">
        <v>50</v>
      </c>
      <c r="BM155" s="51">
        <v>50</v>
      </c>
      <c r="BN155" s="51">
        <v>14</v>
      </c>
      <c r="BO155" s="51">
        <v>1</v>
      </c>
      <c r="BP155" s="51">
        <v>1</v>
      </c>
      <c r="BQ155" s="51"/>
      <c r="BR155" s="51"/>
      <c r="BS155" s="51"/>
      <c r="BT155" s="51"/>
      <c r="BU155" s="51">
        <v>1</v>
      </c>
      <c r="BV155" s="51"/>
      <c r="BW155" s="51"/>
      <c r="BY155" s="39" t="s">
        <v>668</v>
      </c>
      <c r="BZ155" s="51"/>
      <c r="CA155" s="51"/>
      <c r="CB155" s="39" t="s">
        <v>673</v>
      </c>
      <c r="CD155" s="39">
        <v>2.5</v>
      </c>
      <c r="CE155" s="39">
        <v>3.5</v>
      </c>
    </row>
    <row r="156" spans="3:83" x14ac:dyDescent="0.25">
      <c r="C156" s="39" t="s">
        <v>661</v>
      </c>
      <c r="D156" s="39" t="s">
        <v>161</v>
      </c>
      <c r="N156"/>
      <c r="T156" s="39" t="s">
        <v>617</v>
      </c>
      <c r="U156" s="39" t="s">
        <v>617</v>
      </c>
      <c r="V156" s="39" t="s">
        <v>618</v>
      </c>
      <c r="AA156" s="85"/>
      <c r="BK156" s="51"/>
      <c r="BL156" s="51"/>
      <c r="BM156" s="51"/>
      <c r="BN156" s="51"/>
      <c r="BO156" s="51"/>
      <c r="BP156" s="51"/>
    </row>
    <row r="157" spans="3:83" x14ac:dyDescent="0.25">
      <c r="C157" s="39" t="s">
        <v>661</v>
      </c>
      <c r="D157" s="39" t="s">
        <v>616</v>
      </c>
      <c r="N157"/>
      <c r="AA157" s="85"/>
      <c r="BK157" s="51"/>
      <c r="BL157" s="51"/>
      <c r="BM157" s="51"/>
      <c r="BN157" s="51"/>
      <c r="BO157" s="51"/>
      <c r="BP157" s="51"/>
    </row>
    <row r="158" spans="3:83" x14ac:dyDescent="0.25">
      <c r="N158"/>
    </row>
    <row r="159" spans="3:83" x14ac:dyDescent="0.25">
      <c r="C159" s="39" t="s">
        <v>662</v>
      </c>
      <c r="D159" s="39" t="s">
        <v>612</v>
      </c>
      <c r="G159" s="39">
        <v>1</v>
      </c>
      <c r="J159" s="39">
        <v>1</v>
      </c>
      <c r="L159" s="39">
        <v>13</v>
      </c>
      <c r="M159" s="39">
        <v>3</v>
      </c>
      <c r="N159" t="s">
        <v>671</v>
      </c>
      <c r="AA159" s="85"/>
      <c r="BC159" s="39">
        <v>8</v>
      </c>
      <c r="BE159" s="39" t="s">
        <v>612</v>
      </c>
      <c r="BF159" s="39">
        <v>230</v>
      </c>
      <c r="BG159" s="39">
        <v>125</v>
      </c>
      <c r="BH159" s="39">
        <v>690</v>
      </c>
      <c r="BK159" s="51">
        <v>2.5</v>
      </c>
      <c r="BL159" s="51">
        <v>50</v>
      </c>
      <c r="BM159" s="51">
        <v>50</v>
      </c>
      <c r="BN159" s="51">
        <v>14</v>
      </c>
      <c r="BO159" s="51">
        <v>1</v>
      </c>
      <c r="BP159" s="51">
        <v>1</v>
      </c>
      <c r="BQ159" s="51"/>
      <c r="BR159" s="51"/>
      <c r="BS159" s="51"/>
      <c r="BT159" s="51"/>
      <c r="BU159" s="39">
        <v>1</v>
      </c>
      <c r="BY159" s="39" t="s">
        <v>612</v>
      </c>
      <c r="CB159" s="39" t="s">
        <v>673</v>
      </c>
      <c r="CD159" s="39">
        <v>2.5</v>
      </c>
      <c r="CE159" s="39">
        <v>3.5</v>
      </c>
    </row>
    <row r="160" spans="3:83" x14ac:dyDescent="0.25">
      <c r="C160" s="39" t="s">
        <v>662</v>
      </c>
      <c r="D160" s="39" t="s">
        <v>613</v>
      </c>
      <c r="G160" s="39">
        <v>2</v>
      </c>
      <c r="J160" s="39">
        <v>2</v>
      </c>
      <c r="L160" s="39">
        <v>13</v>
      </c>
      <c r="M160" s="39">
        <v>2</v>
      </c>
      <c r="N160" t="s">
        <v>672</v>
      </c>
      <c r="AA160" s="85"/>
      <c r="BC160" s="39">
        <v>9</v>
      </c>
      <c r="BE160" s="39" t="s">
        <v>613</v>
      </c>
      <c r="BF160" s="39">
        <v>230</v>
      </c>
      <c r="BG160" s="39">
        <v>125</v>
      </c>
      <c r="BH160" s="39">
        <v>690</v>
      </c>
      <c r="BK160" s="51">
        <v>2.5</v>
      </c>
      <c r="BL160" s="51">
        <v>50</v>
      </c>
      <c r="BM160" s="51">
        <v>50</v>
      </c>
      <c r="BN160" s="51">
        <v>14</v>
      </c>
      <c r="BO160" s="51">
        <v>1</v>
      </c>
      <c r="BP160" s="51">
        <v>1</v>
      </c>
      <c r="BQ160" s="51"/>
      <c r="BR160" s="51"/>
      <c r="BS160" s="51"/>
      <c r="BT160" s="51"/>
      <c r="BU160" s="51">
        <v>1</v>
      </c>
      <c r="BV160" s="51"/>
      <c r="BW160" s="51"/>
      <c r="BY160" s="39" t="s">
        <v>613</v>
      </c>
      <c r="BZ160" s="51"/>
      <c r="CA160" s="51"/>
      <c r="CB160" s="39" t="s">
        <v>673</v>
      </c>
      <c r="CD160" s="39">
        <v>2.5</v>
      </c>
      <c r="CE160" s="39">
        <v>3.5</v>
      </c>
    </row>
    <row r="161" spans="3:83" x14ac:dyDescent="0.25">
      <c r="C161" s="39" t="s">
        <v>662</v>
      </c>
      <c r="D161" s="39" t="s">
        <v>614</v>
      </c>
      <c r="G161" s="39">
        <v>3</v>
      </c>
      <c r="J161" s="39">
        <v>3</v>
      </c>
      <c r="L161" s="39">
        <v>13</v>
      </c>
      <c r="M161" s="39">
        <v>3</v>
      </c>
      <c r="N161" t="s">
        <v>674</v>
      </c>
      <c r="AA161" s="85"/>
      <c r="BC161" s="39">
        <v>8</v>
      </c>
      <c r="BE161" s="39" t="s">
        <v>614</v>
      </c>
      <c r="BF161" s="39">
        <v>230</v>
      </c>
      <c r="BG161" s="39">
        <v>125</v>
      </c>
      <c r="BH161" s="39">
        <v>690</v>
      </c>
      <c r="BK161" s="51">
        <v>2.5</v>
      </c>
      <c r="BL161" s="51">
        <v>50</v>
      </c>
      <c r="BM161" s="51">
        <v>50</v>
      </c>
      <c r="BN161" s="51">
        <v>14</v>
      </c>
      <c r="BO161" s="51">
        <v>1</v>
      </c>
      <c r="BP161" s="51">
        <v>1</v>
      </c>
      <c r="BQ161" s="51"/>
      <c r="BR161" s="51"/>
      <c r="BS161" s="51"/>
      <c r="BT161" s="51"/>
      <c r="BU161" s="39">
        <v>1</v>
      </c>
      <c r="BY161" s="39" t="s">
        <v>614</v>
      </c>
      <c r="CB161" s="39" t="s">
        <v>673</v>
      </c>
      <c r="CD161" s="39">
        <v>2.5</v>
      </c>
      <c r="CE161" s="39">
        <v>3.5</v>
      </c>
    </row>
    <row r="162" spans="3:83" x14ac:dyDescent="0.25">
      <c r="C162" s="39" t="s">
        <v>662</v>
      </c>
      <c r="D162" s="39" t="s">
        <v>615</v>
      </c>
      <c r="G162" s="39">
        <v>4</v>
      </c>
      <c r="J162" s="39">
        <v>4</v>
      </c>
      <c r="L162" s="39">
        <v>13</v>
      </c>
      <c r="M162" s="39">
        <v>2</v>
      </c>
      <c r="N162" t="s">
        <v>675</v>
      </c>
      <c r="AA162" s="85"/>
      <c r="BC162" s="39">
        <v>9</v>
      </c>
      <c r="BE162" s="39" t="s">
        <v>615</v>
      </c>
      <c r="BF162" s="39">
        <v>230</v>
      </c>
      <c r="BG162" s="39">
        <v>125</v>
      </c>
      <c r="BH162" s="39">
        <v>690</v>
      </c>
      <c r="BK162" s="51">
        <v>2.5</v>
      </c>
      <c r="BL162" s="51">
        <v>50</v>
      </c>
      <c r="BM162" s="51">
        <v>50</v>
      </c>
      <c r="BN162" s="51">
        <v>14</v>
      </c>
      <c r="BO162" s="51">
        <v>1</v>
      </c>
      <c r="BP162" s="51">
        <v>1</v>
      </c>
      <c r="BQ162" s="51"/>
      <c r="BR162" s="51"/>
      <c r="BS162" s="51"/>
      <c r="BT162" s="51"/>
      <c r="BU162" s="51">
        <v>1</v>
      </c>
      <c r="BV162" s="51"/>
      <c r="BW162" s="51"/>
      <c r="BY162" s="39" t="s">
        <v>615</v>
      </c>
      <c r="BZ162" s="51"/>
      <c r="CA162" s="51"/>
      <c r="CB162" s="39" t="s">
        <v>673</v>
      </c>
      <c r="CD162" s="39">
        <v>2.5</v>
      </c>
      <c r="CE162" s="39">
        <v>3.5</v>
      </c>
    </row>
    <row r="163" spans="3:83" x14ac:dyDescent="0.25">
      <c r="C163" s="39" t="s">
        <v>662</v>
      </c>
      <c r="D163" s="39" t="s">
        <v>667</v>
      </c>
      <c r="G163" s="39">
        <v>5</v>
      </c>
      <c r="J163" s="39">
        <v>5</v>
      </c>
      <c r="L163" s="39">
        <v>13</v>
      </c>
      <c r="M163" s="39">
        <v>3</v>
      </c>
      <c r="N163" t="s">
        <v>676</v>
      </c>
      <c r="AA163" s="85"/>
      <c r="BC163" s="39">
        <v>8</v>
      </c>
      <c r="BE163" s="39" t="s">
        <v>667</v>
      </c>
      <c r="BF163" s="39">
        <v>230</v>
      </c>
      <c r="BG163" s="39">
        <v>125</v>
      </c>
      <c r="BH163" s="39">
        <v>690</v>
      </c>
      <c r="BK163" s="51">
        <v>2.5</v>
      </c>
      <c r="BL163" s="51">
        <v>50</v>
      </c>
      <c r="BM163" s="51">
        <v>50</v>
      </c>
      <c r="BN163" s="51">
        <v>14</v>
      </c>
      <c r="BO163" s="51">
        <v>1</v>
      </c>
      <c r="BP163" s="51">
        <v>1</v>
      </c>
      <c r="BQ163" s="51"/>
      <c r="BR163" s="51"/>
      <c r="BS163" s="51"/>
      <c r="BT163" s="51"/>
      <c r="BU163" s="39">
        <v>1</v>
      </c>
      <c r="BY163" s="39" t="s">
        <v>667</v>
      </c>
      <c r="CB163" s="39" t="s">
        <v>673</v>
      </c>
      <c r="CD163" s="39">
        <v>2.5</v>
      </c>
      <c r="CE163" s="39">
        <v>3.5</v>
      </c>
    </row>
    <row r="164" spans="3:83" x14ac:dyDescent="0.25">
      <c r="C164" s="39" t="s">
        <v>662</v>
      </c>
      <c r="D164" s="39" t="s">
        <v>668</v>
      </c>
      <c r="G164" s="39">
        <v>6</v>
      </c>
      <c r="J164" s="39">
        <v>6</v>
      </c>
      <c r="L164" s="39">
        <v>13</v>
      </c>
      <c r="M164" s="39">
        <v>2</v>
      </c>
      <c r="N164" t="s">
        <v>677</v>
      </c>
      <c r="AA164" s="85"/>
      <c r="BC164" s="39">
        <v>9</v>
      </c>
      <c r="BE164" s="39" t="s">
        <v>668</v>
      </c>
      <c r="BF164" s="39">
        <v>230</v>
      </c>
      <c r="BG164" s="39">
        <v>125</v>
      </c>
      <c r="BH164" s="39">
        <v>690</v>
      </c>
      <c r="BK164" s="51">
        <v>2.5</v>
      </c>
      <c r="BL164" s="51">
        <v>50</v>
      </c>
      <c r="BM164" s="51">
        <v>50</v>
      </c>
      <c r="BN164" s="51">
        <v>14</v>
      </c>
      <c r="BO164" s="51">
        <v>1</v>
      </c>
      <c r="BP164" s="51">
        <v>1</v>
      </c>
      <c r="BQ164" s="51"/>
      <c r="BR164" s="51"/>
      <c r="BS164" s="51"/>
      <c r="BT164" s="51"/>
      <c r="BU164" s="51">
        <v>1</v>
      </c>
      <c r="BV164" s="51"/>
      <c r="BW164" s="51"/>
      <c r="BY164" s="39" t="s">
        <v>668</v>
      </c>
      <c r="BZ164" s="51"/>
      <c r="CA164" s="51"/>
      <c r="CB164" s="39" t="s">
        <v>673</v>
      </c>
      <c r="CD164" s="39">
        <v>2.5</v>
      </c>
      <c r="CE164" s="39">
        <v>3.5</v>
      </c>
    </row>
    <row r="165" spans="3:83" x14ac:dyDescent="0.25">
      <c r="C165" s="39" t="s">
        <v>662</v>
      </c>
      <c r="D165" s="39" t="s">
        <v>669</v>
      </c>
      <c r="G165" s="39">
        <v>7</v>
      </c>
      <c r="J165" s="39">
        <v>7</v>
      </c>
      <c r="L165" s="39">
        <v>13</v>
      </c>
      <c r="M165" s="39">
        <v>3</v>
      </c>
      <c r="N165" t="s">
        <v>678</v>
      </c>
      <c r="AA165" s="85"/>
      <c r="BC165" s="39">
        <v>8</v>
      </c>
      <c r="BE165" s="39" t="s">
        <v>669</v>
      </c>
      <c r="BF165" s="39">
        <v>230</v>
      </c>
      <c r="BG165" s="39">
        <v>125</v>
      </c>
      <c r="BH165" s="39">
        <v>690</v>
      </c>
      <c r="BK165" s="51">
        <v>2.5</v>
      </c>
      <c r="BL165" s="51">
        <v>50</v>
      </c>
      <c r="BM165" s="51">
        <v>50</v>
      </c>
      <c r="BN165" s="51">
        <v>14</v>
      </c>
      <c r="BO165" s="51">
        <v>1</v>
      </c>
      <c r="BP165" s="51">
        <v>1</v>
      </c>
      <c r="BQ165" s="51"/>
      <c r="BR165" s="51"/>
      <c r="BS165" s="51"/>
      <c r="BT165" s="51"/>
      <c r="BU165" s="39">
        <v>1</v>
      </c>
      <c r="BY165" s="39" t="s">
        <v>669</v>
      </c>
      <c r="CB165" s="39" t="s">
        <v>673</v>
      </c>
      <c r="CD165" s="39">
        <v>2.5</v>
      </c>
      <c r="CE165" s="39">
        <v>3.5</v>
      </c>
    </row>
    <row r="166" spans="3:83" x14ac:dyDescent="0.25">
      <c r="C166" s="39" t="s">
        <v>662</v>
      </c>
      <c r="D166" s="39" t="s">
        <v>670</v>
      </c>
      <c r="G166" s="39">
        <v>8</v>
      </c>
      <c r="J166" s="39">
        <v>8</v>
      </c>
      <c r="L166" s="39">
        <v>13</v>
      </c>
      <c r="M166" s="39">
        <v>2</v>
      </c>
      <c r="N166" t="s">
        <v>679</v>
      </c>
      <c r="AA166" s="85"/>
      <c r="BC166" s="39">
        <v>9</v>
      </c>
      <c r="BE166" s="39" t="s">
        <v>670</v>
      </c>
      <c r="BF166" s="39">
        <v>230</v>
      </c>
      <c r="BG166" s="39">
        <v>125</v>
      </c>
      <c r="BH166" s="39">
        <v>690</v>
      </c>
      <c r="BK166" s="51">
        <v>2.5</v>
      </c>
      <c r="BL166" s="51">
        <v>50</v>
      </c>
      <c r="BM166" s="51">
        <v>50</v>
      </c>
      <c r="BN166" s="51">
        <v>14</v>
      </c>
      <c r="BO166" s="51">
        <v>1</v>
      </c>
      <c r="BP166" s="51">
        <v>1</v>
      </c>
      <c r="BQ166" s="51"/>
      <c r="BR166" s="51"/>
      <c r="BS166" s="51"/>
      <c r="BT166" s="51"/>
      <c r="BU166" s="51">
        <v>1</v>
      </c>
      <c r="BV166" s="51"/>
      <c r="BW166" s="51"/>
      <c r="BY166" s="39" t="s">
        <v>670</v>
      </c>
      <c r="BZ166" s="51"/>
      <c r="CA166" s="51"/>
      <c r="CB166" s="39" t="s">
        <v>673</v>
      </c>
      <c r="CD166" s="39">
        <v>2.5</v>
      </c>
      <c r="CE166" s="39">
        <v>3.5</v>
      </c>
    </row>
    <row r="167" spans="3:83" x14ac:dyDescent="0.25">
      <c r="C167" s="39" t="s">
        <v>662</v>
      </c>
      <c r="D167" s="39" t="s">
        <v>161</v>
      </c>
      <c r="N167"/>
      <c r="T167" s="39" t="s">
        <v>617</v>
      </c>
      <c r="U167" s="39" t="s">
        <v>617</v>
      </c>
      <c r="V167" s="39" t="s">
        <v>618</v>
      </c>
      <c r="AA167" s="85"/>
      <c r="BK167" s="51"/>
      <c r="BL167" s="51"/>
      <c r="BM167" s="51"/>
      <c r="BN167" s="51"/>
      <c r="BO167" s="51"/>
      <c r="BP167" s="51"/>
    </row>
    <row r="168" spans="3:83" x14ac:dyDescent="0.25">
      <c r="C168" s="39" t="s">
        <v>662</v>
      </c>
      <c r="D168" s="39" t="s">
        <v>616</v>
      </c>
      <c r="N168"/>
      <c r="AA168" s="85"/>
      <c r="BK168" s="51"/>
      <c r="BL168" s="51"/>
      <c r="BM168" s="51"/>
      <c r="BN168" s="51"/>
      <c r="BO168" s="51"/>
      <c r="BP168" s="51"/>
    </row>
    <row r="169" spans="3:83" x14ac:dyDescent="0.25">
      <c r="AA169" s="85"/>
    </row>
    <row r="171" spans="3:83" x14ac:dyDescent="0.25">
      <c r="N171"/>
      <c r="AA171" s="85"/>
      <c r="BK171" s="51"/>
      <c r="BL171" s="51"/>
      <c r="BM171" s="51"/>
      <c r="BN171" s="51"/>
      <c r="BO171" s="51"/>
      <c r="BP171" s="51"/>
      <c r="BQ171" s="51"/>
      <c r="BR171" s="51"/>
      <c r="BS171" s="51"/>
      <c r="BT171" s="51"/>
    </row>
    <row r="172" spans="3:83" x14ac:dyDescent="0.25">
      <c r="N172"/>
      <c r="AA172" s="85"/>
      <c r="BK172" s="51"/>
      <c r="BL172" s="51"/>
      <c r="BM172" s="51"/>
      <c r="BN172" s="51"/>
      <c r="BO172" s="51"/>
      <c r="BP172" s="51"/>
      <c r="BQ172" s="51"/>
      <c r="BR172" s="51"/>
      <c r="BS172" s="51"/>
      <c r="BT172" s="51"/>
      <c r="BU172" s="51"/>
      <c r="BV172" s="51"/>
      <c r="BW172" s="51"/>
      <c r="BZ172" s="51"/>
      <c r="CA172" s="51"/>
      <c r="CB172" s="51"/>
    </row>
    <row r="173" spans="3:83" x14ac:dyDescent="0.25">
      <c r="N173"/>
      <c r="AA173" s="85"/>
      <c r="BK173" s="51"/>
      <c r="BL173" s="51"/>
      <c r="BM173" s="51"/>
      <c r="BN173" s="51"/>
      <c r="BO173" s="51"/>
      <c r="BP173" s="51"/>
    </row>
    <row r="174" spans="3:83" x14ac:dyDescent="0.25">
      <c r="N174"/>
      <c r="AA174" s="85"/>
      <c r="BK174" s="51"/>
      <c r="BL174" s="51"/>
      <c r="BM174" s="51"/>
      <c r="BN174" s="51"/>
      <c r="BO174" s="51"/>
      <c r="BP174" s="51"/>
    </row>
    <row r="175" spans="3:83" x14ac:dyDescent="0.25">
      <c r="AA175" s="85"/>
    </row>
    <row r="176" spans="3:83" x14ac:dyDescent="0.25">
      <c r="AA176" s="85"/>
    </row>
    <row r="178" spans="14:80" x14ac:dyDescent="0.25">
      <c r="N178"/>
      <c r="AA178" s="85"/>
      <c r="BK178" s="51"/>
      <c r="BL178" s="51"/>
      <c r="BM178" s="51"/>
      <c r="BN178" s="51"/>
      <c r="BO178" s="51"/>
      <c r="BP178" s="51"/>
      <c r="BQ178" s="51"/>
      <c r="BR178" s="51"/>
      <c r="BS178" s="51"/>
      <c r="BT178" s="51"/>
    </row>
    <row r="179" spans="14:80" x14ac:dyDescent="0.25">
      <c r="N179"/>
      <c r="AA179" s="85"/>
      <c r="BK179" s="51"/>
      <c r="BL179" s="51"/>
      <c r="BM179" s="51"/>
      <c r="BN179" s="51"/>
      <c r="BO179" s="51"/>
      <c r="BP179" s="51"/>
      <c r="BQ179" s="51"/>
      <c r="BR179" s="51"/>
      <c r="BS179" s="51"/>
      <c r="BT179" s="51"/>
      <c r="BU179" s="51"/>
      <c r="BV179" s="51"/>
      <c r="BW179" s="51"/>
      <c r="BZ179" s="51"/>
      <c r="CA179" s="51"/>
      <c r="CB179" s="51"/>
    </row>
    <row r="180" spans="14:80" x14ac:dyDescent="0.25">
      <c r="N180"/>
      <c r="AA180" s="85"/>
      <c r="BK180" s="51"/>
      <c r="BL180" s="51"/>
      <c r="BM180" s="51"/>
      <c r="BN180" s="51"/>
      <c r="BO180" s="51"/>
      <c r="BP180" s="51"/>
    </row>
    <row r="181" spans="14:80" x14ac:dyDescent="0.25">
      <c r="N181"/>
      <c r="AA181" s="85"/>
      <c r="BK181" s="51"/>
      <c r="BL181" s="51"/>
      <c r="BM181" s="51"/>
      <c r="BN181" s="51"/>
      <c r="BO181" s="51"/>
      <c r="BP181" s="51"/>
    </row>
    <row r="182" spans="14:80" x14ac:dyDescent="0.25">
      <c r="AA182" s="85"/>
    </row>
    <row r="183" spans="14:80" x14ac:dyDescent="0.25">
      <c r="AA183" s="85"/>
    </row>
    <row r="185" spans="14:80" x14ac:dyDescent="0.25">
      <c r="N185"/>
      <c r="AA185" s="85"/>
      <c r="BK185" s="51"/>
      <c r="BL185" s="51"/>
      <c r="BM185" s="51"/>
      <c r="BN185" s="51"/>
      <c r="BO185" s="51"/>
      <c r="BP185" s="51"/>
      <c r="BQ185" s="51"/>
      <c r="BR185" s="51"/>
      <c r="BS185" s="51"/>
      <c r="BT185" s="51"/>
    </row>
    <row r="186" spans="14:80" x14ac:dyDescent="0.25">
      <c r="N186"/>
      <c r="AA186" s="85"/>
      <c r="BK186" s="51"/>
      <c r="BL186" s="51"/>
      <c r="BM186" s="51"/>
      <c r="BN186" s="51"/>
      <c r="BO186" s="51"/>
      <c r="BP186" s="51"/>
      <c r="BQ186" s="51"/>
      <c r="BR186" s="51"/>
      <c r="BS186" s="51"/>
      <c r="BT186" s="51"/>
      <c r="BU186" s="51"/>
      <c r="BV186" s="51"/>
      <c r="BW186" s="51"/>
      <c r="BZ186" s="51"/>
      <c r="CA186" s="51"/>
      <c r="CB186" s="51"/>
    </row>
    <row r="187" spans="14:80" x14ac:dyDescent="0.25">
      <c r="N187"/>
      <c r="AA187" s="85"/>
      <c r="BK187" s="51"/>
      <c r="BL187" s="51"/>
      <c r="BM187" s="51"/>
      <c r="BN187" s="51"/>
      <c r="BO187" s="51"/>
      <c r="BP187" s="51"/>
    </row>
    <row r="188" spans="14:80" x14ac:dyDescent="0.25">
      <c r="N188"/>
      <c r="AA188" s="85"/>
      <c r="BK188" s="51"/>
      <c r="BL188" s="51"/>
      <c r="BM188" s="51"/>
      <c r="BN188" s="51"/>
      <c r="BO188" s="51"/>
      <c r="BP188" s="51"/>
    </row>
    <row r="189" spans="14:80" x14ac:dyDescent="0.25">
      <c r="AA189" s="85"/>
    </row>
    <row r="190" spans="14:80" x14ac:dyDescent="0.25">
      <c r="AA190" s="85"/>
    </row>
    <row r="191" spans="14:80" x14ac:dyDescent="0.25">
      <c r="AA191" s="85"/>
    </row>
    <row r="192" spans="14:80" x14ac:dyDescent="0.25">
      <c r="N192"/>
      <c r="AA192" s="85"/>
      <c r="BK192" s="51"/>
      <c r="BL192" s="51"/>
      <c r="BM192" s="51"/>
      <c r="BN192" s="51"/>
      <c r="BO192" s="51"/>
      <c r="BP192" s="51"/>
      <c r="BQ192" s="51"/>
      <c r="BR192" s="51"/>
      <c r="BS192" s="51"/>
      <c r="BT192" s="51"/>
    </row>
    <row r="193" spans="14:80" x14ac:dyDescent="0.25">
      <c r="N193"/>
      <c r="AA193" s="85"/>
      <c r="BK193" s="51"/>
      <c r="BL193" s="51"/>
      <c r="BM193" s="51"/>
      <c r="BN193" s="51"/>
      <c r="BO193" s="51"/>
      <c r="BP193" s="51"/>
      <c r="BQ193" s="51"/>
      <c r="BR193" s="51"/>
      <c r="BS193" s="51"/>
      <c r="BT193" s="51"/>
      <c r="BU193" s="51"/>
      <c r="BV193" s="51"/>
      <c r="BW193" s="51"/>
      <c r="BZ193" s="51"/>
      <c r="CA193" s="51"/>
      <c r="CB193" s="51"/>
    </row>
    <row r="194" spans="14:80" x14ac:dyDescent="0.25">
      <c r="N194"/>
      <c r="AA194" s="85"/>
      <c r="BK194" s="51"/>
      <c r="BL194" s="51"/>
      <c r="BM194" s="51"/>
      <c r="BN194" s="51"/>
      <c r="BO194" s="51"/>
      <c r="BP194" s="51"/>
    </row>
    <row r="195" spans="14:80" x14ac:dyDescent="0.25">
      <c r="N195"/>
      <c r="AA195" s="85"/>
      <c r="BK195" s="51"/>
      <c r="BL195" s="51"/>
      <c r="BM195" s="51"/>
      <c r="BN195" s="51"/>
      <c r="BO195" s="51"/>
      <c r="BP195" s="51"/>
    </row>
    <row r="196" spans="14:80" x14ac:dyDescent="0.25">
      <c r="AA196" s="85"/>
    </row>
    <row r="197" spans="14:80" x14ac:dyDescent="0.25">
      <c r="AA197" s="85"/>
    </row>
    <row r="199" spans="14:80" x14ac:dyDescent="0.25">
      <c r="N199"/>
      <c r="AA199" s="85"/>
      <c r="BK199" s="51"/>
      <c r="BL199" s="51"/>
      <c r="BM199" s="51"/>
      <c r="BN199" s="51"/>
      <c r="BO199" s="51"/>
      <c r="BP199" s="51"/>
      <c r="BQ199" s="51"/>
      <c r="BR199" s="51"/>
      <c r="BS199" s="51"/>
      <c r="BT199" s="51"/>
    </row>
    <row r="200" spans="14:80" x14ac:dyDescent="0.25">
      <c r="N200"/>
      <c r="AA200" s="85"/>
      <c r="BK200" s="51"/>
      <c r="BL200" s="51"/>
      <c r="BM200" s="51"/>
      <c r="BN200" s="51"/>
      <c r="BO200" s="51"/>
      <c r="BP200" s="51"/>
      <c r="BQ200" s="51"/>
      <c r="BR200" s="51"/>
      <c r="BS200" s="51"/>
      <c r="BT200" s="51"/>
      <c r="BU200" s="51"/>
      <c r="BV200" s="51"/>
      <c r="BW200" s="51"/>
      <c r="BZ200" s="51"/>
      <c r="CA200" s="51"/>
      <c r="CB200" s="51"/>
    </row>
    <row r="201" spans="14:80" x14ac:dyDescent="0.25">
      <c r="N201"/>
      <c r="AA201" s="85"/>
      <c r="BK201" s="51"/>
      <c r="BL201" s="51"/>
      <c r="BM201" s="51"/>
      <c r="BN201" s="51"/>
      <c r="BO201" s="51"/>
      <c r="BP201" s="51"/>
    </row>
    <row r="202" spans="14:80" x14ac:dyDescent="0.25">
      <c r="N202"/>
      <c r="AA202" s="85"/>
      <c r="BK202" s="51"/>
      <c r="BL202" s="51"/>
      <c r="BM202" s="51"/>
      <c r="BN202" s="51"/>
      <c r="BO202" s="51"/>
      <c r="BP202" s="51"/>
    </row>
    <row r="203" spans="14:80" x14ac:dyDescent="0.25">
      <c r="AA203" s="85"/>
    </row>
    <row r="204" spans="14:80" x14ac:dyDescent="0.25">
      <c r="AA204" s="85"/>
    </row>
    <row r="206" spans="14:80" x14ac:dyDescent="0.25">
      <c r="N206"/>
      <c r="AA206" s="85"/>
      <c r="BK206" s="51"/>
      <c r="BL206" s="51"/>
      <c r="BM206" s="51"/>
      <c r="BN206" s="51"/>
      <c r="BO206" s="51"/>
      <c r="BP206" s="51"/>
      <c r="BQ206" s="51"/>
      <c r="BR206" s="51"/>
      <c r="BS206" s="51"/>
      <c r="BT206" s="51"/>
    </row>
    <row r="207" spans="14:80" x14ac:dyDescent="0.25">
      <c r="N207"/>
      <c r="AA207" s="85"/>
      <c r="BK207" s="51"/>
      <c r="BL207" s="51"/>
      <c r="BM207" s="51"/>
      <c r="BN207" s="51"/>
      <c r="BO207" s="51"/>
      <c r="BP207" s="51"/>
      <c r="BQ207" s="51"/>
      <c r="BR207" s="51"/>
      <c r="BS207" s="51"/>
      <c r="BT207" s="51"/>
      <c r="BU207" s="51"/>
      <c r="BV207" s="51"/>
      <c r="BW207" s="51"/>
      <c r="BZ207" s="51"/>
      <c r="CA207" s="51"/>
      <c r="CB207" s="51"/>
    </row>
    <row r="208" spans="14:80" x14ac:dyDescent="0.25">
      <c r="N208"/>
      <c r="AA208" s="85"/>
      <c r="BK208" s="51"/>
      <c r="BL208" s="51"/>
      <c r="BM208" s="51"/>
      <c r="BN208" s="51"/>
      <c r="BO208" s="51"/>
      <c r="BP208" s="51"/>
    </row>
    <row r="209" spans="14:80" x14ac:dyDescent="0.25">
      <c r="N209"/>
      <c r="AA209" s="85"/>
      <c r="BK209" s="51"/>
      <c r="BL209" s="51"/>
      <c r="BM209" s="51"/>
      <c r="BN209" s="51"/>
      <c r="BO209" s="51"/>
      <c r="BP209" s="51"/>
    </row>
    <row r="210" spans="14:80" x14ac:dyDescent="0.25">
      <c r="AA210" s="85"/>
    </row>
    <row r="211" spans="14:80" x14ac:dyDescent="0.25">
      <c r="AA211" s="85"/>
    </row>
    <row r="213" spans="14:80" x14ac:dyDescent="0.25">
      <c r="N213"/>
      <c r="AA213" s="85"/>
      <c r="BK213" s="51"/>
      <c r="BL213" s="51"/>
      <c r="BM213" s="51"/>
      <c r="BN213" s="51"/>
      <c r="BO213" s="51"/>
      <c r="BP213" s="51"/>
      <c r="BQ213" s="51"/>
      <c r="BR213" s="51"/>
      <c r="BS213" s="51"/>
      <c r="BT213" s="51"/>
    </row>
    <row r="214" spans="14:80" x14ac:dyDescent="0.25">
      <c r="N214"/>
      <c r="AA214" s="85"/>
      <c r="BK214" s="51"/>
      <c r="BL214" s="51"/>
      <c r="BM214" s="51"/>
      <c r="BN214" s="51"/>
      <c r="BO214" s="51"/>
      <c r="BP214" s="51"/>
      <c r="BQ214" s="51"/>
      <c r="BR214" s="51"/>
      <c r="BS214" s="51"/>
      <c r="BT214" s="51"/>
      <c r="BU214" s="51"/>
      <c r="BV214" s="51"/>
      <c r="BW214" s="51"/>
      <c r="BZ214" s="51"/>
      <c r="CA214" s="51"/>
      <c r="CB214" s="51"/>
    </row>
    <row r="215" spans="14:80" x14ac:dyDescent="0.25">
      <c r="N215"/>
      <c r="AA215" s="85"/>
      <c r="BK215" s="51"/>
      <c r="BL215" s="51"/>
      <c r="BM215" s="51"/>
      <c r="BN215" s="51"/>
      <c r="BO215" s="51"/>
      <c r="BP215" s="51"/>
    </row>
    <row r="216" spans="14:80" x14ac:dyDescent="0.25">
      <c r="N216"/>
      <c r="AA216" s="85"/>
      <c r="BK216" s="51"/>
      <c r="BL216" s="51"/>
      <c r="BM216" s="51"/>
      <c r="BN216" s="51"/>
      <c r="BO216" s="51"/>
      <c r="BP216" s="51"/>
    </row>
    <row r="217" spans="14:80" x14ac:dyDescent="0.25">
      <c r="AA217" s="85"/>
    </row>
    <row r="218" spans="14:80" x14ac:dyDescent="0.25">
      <c r="AA218" s="85"/>
    </row>
    <row r="220" spans="14:80" x14ac:dyDescent="0.25">
      <c r="N220"/>
      <c r="AA220" s="85"/>
      <c r="BK220" s="51"/>
      <c r="BL220" s="51"/>
      <c r="BM220" s="51"/>
      <c r="BN220" s="51"/>
      <c r="BO220" s="51"/>
      <c r="BP220" s="51"/>
      <c r="BQ220" s="51"/>
      <c r="BR220" s="51"/>
      <c r="BS220" s="51"/>
      <c r="BT220" s="51"/>
    </row>
    <row r="221" spans="14:80" x14ac:dyDescent="0.25">
      <c r="N221"/>
      <c r="AA221" s="85"/>
      <c r="BK221" s="51"/>
      <c r="BL221" s="51"/>
      <c r="BM221" s="51"/>
      <c r="BN221" s="51"/>
      <c r="BO221" s="51"/>
      <c r="BP221" s="51"/>
      <c r="BQ221" s="51"/>
      <c r="BR221" s="51"/>
      <c r="BS221" s="51"/>
      <c r="BT221" s="51"/>
      <c r="BU221" s="51"/>
      <c r="BV221" s="51"/>
      <c r="BW221" s="51"/>
      <c r="BZ221" s="51"/>
      <c r="CA221" s="51"/>
      <c r="CB221" s="51"/>
    </row>
    <row r="222" spans="14:80" x14ac:dyDescent="0.25">
      <c r="N222"/>
      <c r="AA222" s="85"/>
      <c r="BK222" s="51"/>
      <c r="BL222" s="51"/>
      <c r="BM222" s="51"/>
      <c r="BN222" s="51"/>
      <c r="BO222" s="51"/>
      <c r="BP222" s="51"/>
    </row>
    <row r="223" spans="14:80" x14ac:dyDescent="0.25">
      <c r="N223"/>
      <c r="AA223" s="85"/>
      <c r="BK223" s="51"/>
      <c r="BL223" s="51"/>
      <c r="BM223" s="51"/>
      <c r="BN223" s="51"/>
      <c r="BO223" s="51"/>
      <c r="BP223" s="51"/>
    </row>
    <row r="224" spans="14:80" x14ac:dyDescent="0.25">
      <c r="AA224" s="85"/>
    </row>
    <row r="225" spans="14:80" x14ac:dyDescent="0.25">
      <c r="AA225" s="85"/>
    </row>
    <row r="226" spans="14:80" x14ac:dyDescent="0.25">
      <c r="AA226" s="85"/>
    </row>
    <row r="227" spans="14:80" x14ac:dyDescent="0.25">
      <c r="N227"/>
      <c r="AA227" s="85"/>
      <c r="BK227" s="51"/>
      <c r="BL227" s="51"/>
      <c r="BM227" s="51"/>
      <c r="BN227" s="51"/>
      <c r="BO227" s="51"/>
      <c r="BP227" s="51"/>
      <c r="BQ227" s="51"/>
      <c r="BR227" s="51"/>
      <c r="BS227" s="51"/>
      <c r="BT227" s="51"/>
    </row>
    <row r="228" spans="14:80" x14ac:dyDescent="0.25">
      <c r="N228"/>
      <c r="AA228" s="85"/>
      <c r="BK228" s="51"/>
      <c r="BL228" s="51"/>
      <c r="BM228" s="51"/>
      <c r="BN228" s="51"/>
      <c r="BO228" s="51"/>
      <c r="BP228" s="51"/>
      <c r="BQ228" s="51"/>
      <c r="BR228" s="51"/>
      <c r="BS228" s="51"/>
      <c r="BT228" s="51"/>
      <c r="BU228" s="51"/>
      <c r="BV228" s="51"/>
      <c r="BW228" s="51"/>
      <c r="BZ228" s="51"/>
      <c r="CA228" s="51"/>
      <c r="CB228" s="51"/>
    </row>
    <row r="229" spans="14:80" x14ac:dyDescent="0.25">
      <c r="N229"/>
      <c r="AA229" s="85"/>
      <c r="BK229" s="51"/>
      <c r="BL229" s="51"/>
      <c r="BM229" s="51"/>
      <c r="BN229" s="51"/>
      <c r="BO229" s="51"/>
      <c r="BP229" s="51"/>
    </row>
    <row r="230" spans="14:80" x14ac:dyDescent="0.25">
      <c r="N230"/>
      <c r="AA230" s="85"/>
      <c r="BK230" s="51"/>
      <c r="BL230" s="51"/>
      <c r="BM230" s="51"/>
      <c r="BN230" s="51"/>
      <c r="BO230" s="51"/>
      <c r="BP230" s="51"/>
    </row>
    <row r="231" spans="14:80" x14ac:dyDescent="0.25">
      <c r="AA231" s="85"/>
    </row>
    <row r="232" spans="14:80" x14ac:dyDescent="0.25">
      <c r="AA232" s="85"/>
    </row>
    <row r="234" spans="14:80" x14ac:dyDescent="0.25">
      <c r="N234"/>
      <c r="AA234" s="85"/>
      <c r="BK234" s="51"/>
      <c r="BL234" s="51"/>
      <c r="BM234" s="51"/>
      <c r="BN234" s="51"/>
      <c r="BO234" s="51"/>
      <c r="BP234" s="51"/>
      <c r="BQ234" s="51"/>
      <c r="BR234" s="51"/>
      <c r="BS234" s="51"/>
      <c r="BT234" s="51"/>
    </row>
    <row r="235" spans="14:80" x14ac:dyDescent="0.25">
      <c r="N235"/>
      <c r="AA235" s="85"/>
      <c r="BK235" s="51"/>
      <c r="BL235" s="51"/>
      <c r="BM235" s="51"/>
      <c r="BN235" s="51"/>
      <c r="BO235" s="51"/>
      <c r="BP235" s="51"/>
      <c r="BQ235" s="51"/>
      <c r="BR235" s="51"/>
      <c r="BS235" s="51"/>
      <c r="BT235" s="51"/>
      <c r="BU235" s="51"/>
      <c r="BV235" s="51"/>
      <c r="BW235" s="51"/>
      <c r="BZ235" s="51"/>
      <c r="CA235" s="51"/>
      <c r="CB235" s="51"/>
    </row>
    <row r="236" spans="14:80" x14ac:dyDescent="0.25">
      <c r="N236"/>
      <c r="AA236" s="85"/>
      <c r="BK236" s="51"/>
      <c r="BL236" s="51"/>
      <c r="BM236" s="51"/>
      <c r="BN236" s="51"/>
      <c r="BO236" s="51"/>
      <c r="BP236" s="51"/>
    </row>
    <row r="237" spans="14:80" x14ac:dyDescent="0.25">
      <c r="N237"/>
      <c r="AA237" s="85"/>
      <c r="BK237" s="51"/>
      <c r="BL237" s="51"/>
      <c r="BM237" s="51"/>
      <c r="BN237" s="51"/>
      <c r="BO237" s="51"/>
      <c r="BP237" s="51"/>
    </row>
    <row r="238" spans="14:80" x14ac:dyDescent="0.25">
      <c r="AA238" s="85"/>
    </row>
    <row r="239" spans="14:80" x14ac:dyDescent="0.25">
      <c r="AA239" s="85"/>
    </row>
    <row r="241" spans="14:80" x14ac:dyDescent="0.25">
      <c r="N241"/>
      <c r="AA241" s="85"/>
      <c r="BK241" s="51"/>
      <c r="BL241" s="51"/>
      <c r="BM241" s="51"/>
      <c r="BN241" s="51"/>
      <c r="BO241" s="51"/>
      <c r="BP241" s="51"/>
      <c r="BQ241" s="51"/>
      <c r="BR241" s="51"/>
      <c r="BS241" s="51"/>
      <c r="BT241" s="51"/>
    </row>
    <row r="242" spans="14:80" x14ac:dyDescent="0.25">
      <c r="N242"/>
      <c r="AA242" s="85"/>
      <c r="BK242" s="51"/>
      <c r="BL242" s="51"/>
      <c r="BM242" s="51"/>
      <c r="BN242" s="51"/>
      <c r="BO242" s="51"/>
      <c r="BP242" s="51"/>
      <c r="BQ242" s="51"/>
      <c r="BR242" s="51"/>
      <c r="BS242" s="51"/>
      <c r="BT242" s="51"/>
      <c r="BU242" s="51"/>
      <c r="BV242" s="51"/>
      <c r="BW242" s="51"/>
      <c r="BZ242" s="51"/>
      <c r="CA242" s="51"/>
      <c r="CB242" s="51"/>
    </row>
    <row r="243" spans="14:80" x14ac:dyDescent="0.25">
      <c r="N243"/>
      <c r="AA243" s="85"/>
      <c r="BK243" s="51"/>
      <c r="BL243" s="51"/>
      <c r="BM243" s="51"/>
      <c r="BN243" s="51"/>
      <c r="BO243" s="51"/>
      <c r="BP243" s="51"/>
    </row>
    <row r="244" spans="14:80" x14ac:dyDescent="0.25">
      <c r="N244"/>
      <c r="AA244" s="85"/>
      <c r="BK244" s="51"/>
      <c r="BL244" s="51"/>
      <c r="BM244" s="51"/>
      <c r="BN244" s="51"/>
      <c r="BO244" s="51"/>
      <c r="BP244" s="51"/>
    </row>
    <row r="245" spans="14:80" x14ac:dyDescent="0.25">
      <c r="AA245" s="85"/>
    </row>
    <row r="246" spans="14:80" x14ac:dyDescent="0.25">
      <c r="AA246" s="85"/>
    </row>
    <row r="248" spans="14:80" x14ac:dyDescent="0.25">
      <c r="N248"/>
      <c r="AA248" s="85"/>
      <c r="BK248" s="51"/>
      <c r="BL248" s="51"/>
      <c r="BM248" s="51"/>
      <c r="BN248" s="51"/>
      <c r="BO248" s="51"/>
      <c r="BP248" s="51"/>
      <c r="BQ248" s="51"/>
      <c r="BR248" s="51"/>
      <c r="BS248" s="51"/>
      <c r="BT248" s="51"/>
    </row>
    <row r="249" spans="14:80" x14ac:dyDescent="0.25">
      <c r="N249"/>
      <c r="AA249" s="85"/>
      <c r="BK249" s="51"/>
      <c r="BL249" s="51"/>
      <c r="BM249" s="51"/>
      <c r="BN249" s="51"/>
      <c r="BO249" s="51"/>
      <c r="BP249" s="51"/>
      <c r="BQ249" s="51"/>
      <c r="BR249" s="51"/>
      <c r="BS249" s="51"/>
      <c r="BT249" s="51"/>
      <c r="BU249" s="51"/>
      <c r="BV249" s="51"/>
      <c r="BW249" s="51"/>
      <c r="BZ249" s="51"/>
      <c r="CA249" s="51"/>
      <c r="CB249" s="51"/>
    </row>
    <row r="250" spans="14:80" x14ac:dyDescent="0.25">
      <c r="N250"/>
      <c r="AA250" s="85"/>
      <c r="BK250" s="51"/>
      <c r="BL250" s="51"/>
      <c r="BM250" s="51"/>
      <c r="BN250" s="51"/>
      <c r="BO250" s="51"/>
      <c r="BP250" s="51"/>
    </row>
    <row r="251" spans="14:80" x14ac:dyDescent="0.25">
      <c r="N251"/>
      <c r="AA251" s="85"/>
      <c r="BK251" s="51"/>
      <c r="BL251" s="51"/>
      <c r="BM251" s="51"/>
      <c r="BN251" s="51"/>
      <c r="BO251" s="51"/>
      <c r="BP251" s="51"/>
    </row>
    <row r="252" spans="14:80" x14ac:dyDescent="0.25">
      <c r="AA252" s="85"/>
    </row>
    <row r="253" spans="14:80" x14ac:dyDescent="0.25">
      <c r="AA253" s="85"/>
    </row>
    <row r="255" spans="14:80" x14ac:dyDescent="0.25">
      <c r="N255"/>
      <c r="AA255" s="85"/>
      <c r="BK255" s="51"/>
      <c r="BL255" s="51"/>
      <c r="BM255" s="51"/>
      <c r="BN255" s="51"/>
      <c r="BO255" s="51"/>
      <c r="BP255" s="51"/>
      <c r="BQ255" s="51"/>
      <c r="BR255" s="51"/>
      <c r="BS255" s="51"/>
      <c r="BT255" s="51"/>
    </row>
    <row r="256" spans="14:80" x14ac:dyDescent="0.25">
      <c r="N256"/>
      <c r="AA256" s="85"/>
      <c r="BK256" s="51"/>
      <c r="BL256" s="51"/>
      <c r="BM256" s="51"/>
      <c r="BN256" s="51"/>
      <c r="BO256" s="51"/>
      <c r="BP256" s="51"/>
      <c r="BQ256" s="51"/>
      <c r="BR256" s="51"/>
      <c r="BS256" s="51"/>
      <c r="BT256" s="51"/>
      <c r="BU256" s="51"/>
      <c r="BV256" s="51"/>
      <c r="BW256" s="51"/>
      <c r="BZ256" s="51"/>
      <c r="CA256" s="51"/>
      <c r="CB256" s="51"/>
    </row>
    <row r="257" spans="14:80" x14ac:dyDescent="0.25">
      <c r="N257"/>
      <c r="AA257" s="85"/>
      <c r="BK257" s="51"/>
      <c r="BL257" s="51"/>
      <c r="BM257" s="51"/>
      <c r="BN257" s="51"/>
      <c r="BO257" s="51"/>
      <c r="BP257" s="51"/>
    </row>
    <row r="258" spans="14:80" x14ac:dyDescent="0.25">
      <c r="N258"/>
      <c r="AA258" s="85"/>
      <c r="BK258" s="51"/>
      <c r="BL258" s="51"/>
      <c r="BM258" s="51"/>
      <c r="BN258" s="51"/>
      <c r="BO258" s="51"/>
      <c r="BP258" s="51"/>
    </row>
    <row r="259" spans="14:80" x14ac:dyDescent="0.25">
      <c r="AA259" s="85"/>
    </row>
    <row r="260" spans="14:80" x14ac:dyDescent="0.25">
      <c r="AA260" s="85"/>
    </row>
    <row r="261" spans="14:80" x14ac:dyDescent="0.25">
      <c r="AA261" s="85"/>
    </row>
    <row r="262" spans="14:80" x14ac:dyDescent="0.25">
      <c r="N262"/>
      <c r="AA262" s="85"/>
      <c r="BK262" s="51"/>
      <c r="BL262" s="51"/>
      <c r="BM262" s="51"/>
      <c r="BN262" s="51"/>
      <c r="BO262" s="51"/>
      <c r="BP262" s="51"/>
      <c r="BQ262" s="51"/>
      <c r="BR262" s="51"/>
      <c r="BS262" s="51"/>
      <c r="BT262" s="51"/>
    </row>
    <row r="263" spans="14:80" x14ac:dyDescent="0.25">
      <c r="N263"/>
      <c r="AA263" s="85"/>
      <c r="BK263" s="51"/>
      <c r="BL263" s="51"/>
      <c r="BM263" s="51"/>
      <c r="BN263" s="51"/>
      <c r="BO263" s="51"/>
      <c r="BP263" s="51"/>
      <c r="BQ263" s="51"/>
      <c r="BR263" s="51"/>
      <c r="BS263" s="51"/>
      <c r="BT263" s="51"/>
      <c r="BU263" s="51"/>
      <c r="BV263" s="51"/>
      <c r="BW263" s="51"/>
      <c r="BZ263" s="51"/>
      <c r="CA263" s="51"/>
      <c r="CB263" s="51"/>
    </row>
    <row r="264" spans="14:80" x14ac:dyDescent="0.25">
      <c r="N264"/>
      <c r="AA264" s="85"/>
      <c r="BK264" s="51"/>
      <c r="BL264" s="51"/>
      <c r="BM264" s="51"/>
      <c r="BN264" s="51"/>
      <c r="BO264" s="51"/>
      <c r="BP264" s="51"/>
    </row>
    <row r="265" spans="14:80" x14ac:dyDescent="0.25">
      <c r="N265"/>
      <c r="AA265" s="85"/>
      <c r="BK265" s="51"/>
      <c r="BL265" s="51"/>
      <c r="BM265" s="51"/>
      <c r="BN265" s="51"/>
      <c r="BO265" s="51"/>
      <c r="BP265" s="51"/>
    </row>
    <row r="266" spans="14:80" x14ac:dyDescent="0.25">
      <c r="AA266" s="85"/>
    </row>
    <row r="267" spans="14:80" x14ac:dyDescent="0.25">
      <c r="AA267" s="85"/>
    </row>
    <row r="269" spans="14:80" x14ac:dyDescent="0.25">
      <c r="N269"/>
      <c r="AA269" s="85"/>
      <c r="BK269" s="51"/>
      <c r="BL269" s="51"/>
      <c r="BM269" s="51"/>
      <c r="BN269" s="51"/>
      <c r="BO269" s="51"/>
      <c r="BP269" s="51"/>
      <c r="BQ269" s="51"/>
      <c r="BR269" s="51"/>
      <c r="BS269" s="51"/>
      <c r="BT269" s="51"/>
    </row>
    <row r="270" spans="14:80" x14ac:dyDescent="0.25">
      <c r="N270"/>
      <c r="AA270" s="85"/>
      <c r="BK270" s="51"/>
      <c r="BL270" s="51"/>
      <c r="BM270" s="51"/>
      <c r="BN270" s="51"/>
      <c r="BO270" s="51"/>
      <c r="BP270" s="51"/>
      <c r="BQ270" s="51"/>
      <c r="BR270" s="51"/>
      <c r="BS270" s="51"/>
      <c r="BT270" s="51"/>
      <c r="BU270" s="51"/>
      <c r="BV270" s="51"/>
      <c r="BW270" s="51"/>
      <c r="BZ270" s="51"/>
      <c r="CA270" s="51"/>
      <c r="CB270" s="51"/>
    </row>
    <row r="271" spans="14:80" x14ac:dyDescent="0.25">
      <c r="N271"/>
      <c r="AA271" s="85"/>
      <c r="BK271" s="51"/>
      <c r="BL271" s="51"/>
      <c r="BM271" s="51"/>
      <c r="BN271" s="51"/>
      <c r="BO271" s="51"/>
      <c r="BP271" s="51"/>
    </row>
    <row r="272" spans="14:80" x14ac:dyDescent="0.25">
      <c r="N272"/>
      <c r="AA272" s="85"/>
      <c r="BK272" s="51"/>
      <c r="BL272" s="51"/>
      <c r="BM272" s="51"/>
      <c r="BN272" s="51"/>
      <c r="BO272" s="51"/>
      <c r="BP272" s="51"/>
    </row>
    <row r="273" spans="14:80" x14ac:dyDescent="0.25">
      <c r="AA273" s="85"/>
    </row>
    <row r="274" spans="14:80" x14ac:dyDescent="0.25">
      <c r="AA274" s="85"/>
    </row>
    <row r="276" spans="14:80" x14ac:dyDescent="0.25">
      <c r="N276"/>
      <c r="AA276" s="85"/>
      <c r="BK276" s="51"/>
      <c r="BL276" s="51"/>
      <c r="BM276" s="51"/>
      <c r="BN276" s="51"/>
      <c r="BO276" s="51"/>
      <c r="BP276" s="51"/>
      <c r="BQ276" s="51"/>
      <c r="BR276" s="51"/>
      <c r="BS276" s="51"/>
      <c r="BT276" s="51"/>
    </row>
    <row r="277" spans="14:80" x14ac:dyDescent="0.25">
      <c r="N277"/>
      <c r="AA277" s="85"/>
      <c r="BK277" s="51"/>
      <c r="BL277" s="51"/>
      <c r="BM277" s="51"/>
      <c r="BN277" s="51"/>
      <c r="BO277" s="51"/>
      <c r="BP277" s="51"/>
      <c r="BQ277" s="51"/>
      <c r="BR277" s="51"/>
      <c r="BS277" s="51"/>
      <c r="BT277" s="51"/>
      <c r="BU277" s="51"/>
      <c r="BV277" s="51"/>
      <c r="BW277" s="51"/>
      <c r="BZ277" s="51"/>
      <c r="CA277" s="51"/>
      <c r="CB277" s="51"/>
    </row>
    <row r="278" spans="14:80" x14ac:dyDescent="0.25">
      <c r="N278"/>
      <c r="AA278" s="85"/>
      <c r="BK278" s="51"/>
      <c r="BL278" s="51"/>
      <c r="BM278" s="51"/>
      <c r="BN278" s="51"/>
      <c r="BO278" s="51"/>
      <c r="BP278" s="51"/>
    </row>
    <row r="279" spans="14:80" x14ac:dyDescent="0.25">
      <c r="N279"/>
      <c r="AA279" s="85"/>
      <c r="BK279" s="51"/>
      <c r="BL279" s="51"/>
      <c r="BM279" s="51"/>
      <c r="BN279" s="51"/>
      <c r="BO279" s="51"/>
      <c r="BP279" s="51"/>
    </row>
    <row r="280" spans="14:80" x14ac:dyDescent="0.25">
      <c r="AA280" s="85"/>
    </row>
    <row r="281" spans="14:80" x14ac:dyDescent="0.25">
      <c r="AA281" s="85"/>
    </row>
    <row r="283" spans="14:80" x14ac:dyDescent="0.25">
      <c r="N283"/>
      <c r="AA283" s="85"/>
      <c r="BK283" s="51"/>
      <c r="BL283" s="51"/>
      <c r="BM283" s="51"/>
      <c r="BN283" s="51"/>
      <c r="BO283" s="51"/>
      <c r="BP283" s="51"/>
      <c r="BQ283" s="51"/>
      <c r="BR283" s="51"/>
      <c r="BS283" s="51"/>
      <c r="BT283" s="51"/>
    </row>
    <row r="284" spans="14:80" x14ac:dyDescent="0.25">
      <c r="N284"/>
      <c r="AA284" s="85"/>
      <c r="BK284" s="51"/>
      <c r="BL284" s="51"/>
      <c r="BM284" s="51"/>
      <c r="BN284" s="51"/>
      <c r="BO284" s="51"/>
      <c r="BP284" s="51"/>
      <c r="BQ284" s="51"/>
      <c r="BR284" s="51"/>
      <c r="BS284" s="51"/>
      <c r="BT284" s="51"/>
      <c r="BU284" s="51"/>
      <c r="BV284" s="51"/>
      <c r="BW284" s="51"/>
      <c r="BZ284" s="51"/>
      <c r="CA284" s="51"/>
      <c r="CB284" s="51"/>
    </row>
    <row r="285" spans="14:80" x14ac:dyDescent="0.25">
      <c r="N285"/>
      <c r="AA285" s="85"/>
      <c r="BK285" s="51"/>
      <c r="BL285" s="51"/>
      <c r="BM285" s="51"/>
      <c r="BN285" s="51"/>
      <c r="BO285" s="51"/>
      <c r="BP285" s="51"/>
    </row>
    <row r="286" spans="14:80" x14ac:dyDescent="0.25">
      <c r="N286"/>
      <c r="AA286" s="85"/>
      <c r="BK286" s="51"/>
      <c r="BL286" s="51"/>
      <c r="BM286" s="51"/>
      <c r="BN286" s="51"/>
      <c r="BO286" s="51"/>
      <c r="BP286" s="51"/>
    </row>
    <row r="287" spans="14:80" x14ac:dyDescent="0.25">
      <c r="AA287" s="85"/>
    </row>
    <row r="288" spans="14:80" x14ac:dyDescent="0.25">
      <c r="AA288" s="85"/>
    </row>
    <row r="290" spans="14:80" x14ac:dyDescent="0.25">
      <c r="N290"/>
      <c r="AA290" s="85"/>
      <c r="BK290" s="51"/>
      <c r="BL290" s="51"/>
      <c r="BM290" s="51"/>
      <c r="BN290" s="51"/>
      <c r="BO290" s="51"/>
      <c r="BP290" s="51"/>
      <c r="BQ290" s="51"/>
      <c r="BR290" s="51"/>
      <c r="BS290" s="51"/>
      <c r="BT290" s="51"/>
    </row>
    <row r="291" spans="14:80" x14ac:dyDescent="0.25">
      <c r="N291"/>
      <c r="AA291" s="85"/>
      <c r="BK291" s="51"/>
      <c r="BL291" s="51"/>
      <c r="BM291" s="51"/>
      <c r="BN291" s="51"/>
      <c r="BO291" s="51"/>
      <c r="BP291" s="51"/>
      <c r="BQ291" s="51"/>
      <c r="BR291" s="51"/>
      <c r="BS291" s="51"/>
      <c r="BT291" s="51"/>
      <c r="BU291" s="51"/>
      <c r="BV291" s="51"/>
      <c r="BW291" s="51"/>
      <c r="BZ291" s="51"/>
      <c r="CA291" s="51"/>
      <c r="CB291" s="51"/>
    </row>
    <row r="292" spans="14:80" x14ac:dyDescent="0.25">
      <c r="N292"/>
      <c r="AA292" s="85"/>
      <c r="BK292" s="51"/>
      <c r="BL292" s="51"/>
      <c r="BM292" s="51"/>
      <c r="BN292" s="51"/>
      <c r="BO292" s="51"/>
      <c r="BP292" s="51"/>
    </row>
    <row r="293" spans="14:80" x14ac:dyDescent="0.25">
      <c r="N293"/>
      <c r="AA293" s="85"/>
      <c r="BK293" s="51"/>
      <c r="BL293" s="51"/>
      <c r="BM293" s="51"/>
      <c r="BN293" s="51"/>
      <c r="BO293" s="51"/>
      <c r="BP293" s="51"/>
    </row>
    <row r="294" spans="14:80" x14ac:dyDescent="0.25">
      <c r="AA294" s="85"/>
    </row>
    <row r="295" spans="14:80" x14ac:dyDescent="0.25">
      <c r="AA295" s="85"/>
    </row>
    <row r="296" spans="14:80" x14ac:dyDescent="0.25">
      <c r="AA296" s="85"/>
    </row>
    <row r="297" spans="14:80" x14ac:dyDescent="0.25">
      <c r="N297"/>
      <c r="AA297" s="85"/>
      <c r="BK297" s="51"/>
      <c r="BL297" s="51"/>
      <c r="BM297" s="51"/>
      <c r="BN297" s="51"/>
      <c r="BO297" s="51"/>
      <c r="BP297" s="51"/>
      <c r="BQ297" s="51"/>
      <c r="BR297" s="51"/>
      <c r="BS297" s="51"/>
      <c r="BT297" s="51"/>
    </row>
    <row r="298" spans="14:80" x14ac:dyDescent="0.25">
      <c r="N298"/>
      <c r="AA298" s="85"/>
      <c r="BK298" s="51"/>
      <c r="BL298" s="51"/>
      <c r="BM298" s="51"/>
      <c r="BN298" s="51"/>
      <c r="BO298" s="51"/>
      <c r="BP298" s="51"/>
      <c r="BQ298" s="51"/>
      <c r="BR298" s="51"/>
      <c r="BS298" s="51"/>
      <c r="BT298" s="51"/>
      <c r="BU298" s="51"/>
      <c r="BV298" s="51"/>
      <c r="BW298" s="51"/>
      <c r="BZ298" s="51"/>
      <c r="CA298" s="51"/>
      <c r="CB298" s="51"/>
    </row>
    <row r="299" spans="14:80" x14ac:dyDescent="0.25">
      <c r="N299"/>
      <c r="AA299" s="85"/>
      <c r="BK299" s="51"/>
      <c r="BL299" s="51"/>
      <c r="BM299" s="51"/>
      <c r="BN299" s="51"/>
      <c r="BO299" s="51"/>
      <c r="BP299" s="51"/>
    </row>
    <row r="300" spans="14:80" x14ac:dyDescent="0.25">
      <c r="N300"/>
      <c r="AA300" s="85"/>
      <c r="BK300" s="51"/>
      <c r="BL300" s="51"/>
      <c r="BM300" s="51"/>
      <c r="BN300" s="51"/>
      <c r="BO300" s="51"/>
      <c r="BP300" s="51"/>
    </row>
    <row r="301" spans="14:80" x14ac:dyDescent="0.25">
      <c r="AA301" s="85"/>
    </row>
    <row r="302" spans="14:80" x14ac:dyDescent="0.25">
      <c r="AA302" s="85"/>
    </row>
    <row r="304" spans="14:80" x14ac:dyDescent="0.25">
      <c r="N304"/>
      <c r="AA304" s="85"/>
      <c r="BK304" s="51"/>
      <c r="BL304" s="51"/>
      <c r="BM304" s="51"/>
      <c r="BN304" s="51"/>
      <c r="BO304" s="51"/>
      <c r="BP304" s="51"/>
      <c r="BQ304" s="51"/>
      <c r="BR304" s="51"/>
      <c r="BS304" s="51"/>
      <c r="BT304" s="51"/>
    </row>
    <row r="305" spans="14:80" x14ac:dyDescent="0.25">
      <c r="N305"/>
      <c r="AA305" s="85"/>
      <c r="BK305" s="51"/>
      <c r="BL305" s="51"/>
      <c r="BM305" s="51"/>
      <c r="BN305" s="51"/>
      <c r="BO305" s="51"/>
      <c r="BP305" s="51"/>
      <c r="BQ305" s="51"/>
      <c r="BR305" s="51"/>
      <c r="BS305" s="51"/>
      <c r="BT305" s="51"/>
      <c r="BU305" s="51"/>
      <c r="BV305" s="51"/>
      <c r="BW305" s="51"/>
      <c r="BZ305" s="51"/>
      <c r="CA305" s="51"/>
      <c r="CB305" s="51"/>
    </row>
    <row r="306" spans="14:80" x14ac:dyDescent="0.25">
      <c r="N306"/>
      <c r="AA306" s="85"/>
      <c r="BK306" s="51"/>
      <c r="BL306" s="51"/>
      <c r="BM306" s="51"/>
      <c r="BN306" s="51"/>
      <c r="BO306" s="51"/>
      <c r="BP306" s="51"/>
    </row>
    <row r="307" spans="14:80" x14ac:dyDescent="0.25">
      <c r="N307"/>
      <c r="AA307" s="85"/>
      <c r="BK307" s="51"/>
      <c r="BL307" s="51"/>
      <c r="BM307" s="51"/>
      <c r="BN307" s="51"/>
      <c r="BO307" s="51"/>
      <c r="BP307" s="51"/>
    </row>
    <row r="308" spans="14:80" x14ac:dyDescent="0.25">
      <c r="AA308" s="85"/>
    </row>
    <row r="309" spans="14:80" x14ac:dyDescent="0.25">
      <c r="AA309" s="85"/>
    </row>
    <row r="311" spans="14:80" x14ac:dyDescent="0.25">
      <c r="N311"/>
      <c r="AA311" s="85"/>
      <c r="BK311" s="51"/>
      <c r="BL311" s="51"/>
      <c r="BM311" s="51"/>
      <c r="BN311" s="51"/>
      <c r="BO311" s="51"/>
      <c r="BP311" s="51"/>
      <c r="BQ311" s="51"/>
      <c r="BR311" s="51"/>
      <c r="BS311" s="51"/>
      <c r="BT311" s="51"/>
    </row>
    <row r="312" spans="14:80" x14ac:dyDescent="0.25">
      <c r="N312"/>
      <c r="AA312" s="85"/>
      <c r="BK312" s="51"/>
      <c r="BL312" s="51"/>
      <c r="BM312" s="51"/>
      <c r="BN312" s="51"/>
      <c r="BO312" s="51"/>
      <c r="BP312" s="51"/>
      <c r="BQ312" s="51"/>
      <c r="BR312" s="51"/>
      <c r="BS312" s="51"/>
      <c r="BT312" s="51"/>
      <c r="BU312" s="51"/>
      <c r="BV312" s="51"/>
      <c r="BW312" s="51"/>
      <c r="BZ312" s="51"/>
      <c r="CA312" s="51"/>
      <c r="CB312" s="51"/>
    </row>
    <row r="313" spans="14:80" x14ac:dyDescent="0.25">
      <c r="N313"/>
      <c r="AA313" s="85"/>
      <c r="BK313" s="51"/>
      <c r="BL313" s="51"/>
      <c r="BM313" s="51"/>
      <c r="BN313" s="51"/>
      <c r="BO313" s="51"/>
      <c r="BP313" s="51"/>
    </row>
    <row r="314" spans="14:80" x14ac:dyDescent="0.25">
      <c r="N314"/>
      <c r="AA314" s="85"/>
      <c r="BK314" s="51"/>
      <c r="BL314" s="51"/>
      <c r="BM314" s="51"/>
      <c r="BN314" s="51"/>
      <c r="BO314" s="51"/>
      <c r="BP314" s="51"/>
    </row>
    <row r="315" spans="14:80" x14ac:dyDescent="0.25">
      <c r="AA315" s="85"/>
    </row>
    <row r="316" spans="14:80" x14ac:dyDescent="0.25">
      <c r="AA316" s="85"/>
    </row>
    <row r="318" spans="14:80" x14ac:dyDescent="0.25">
      <c r="N318"/>
      <c r="AA318" s="85"/>
      <c r="BK318" s="51"/>
      <c r="BL318" s="51"/>
      <c r="BM318" s="51"/>
      <c r="BN318" s="51"/>
      <c r="BO318" s="51"/>
      <c r="BP318" s="51"/>
      <c r="BQ318" s="51"/>
      <c r="BR318" s="51"/>
      <c r="BS318" s="51"/>
      <c r="BT318" s="51"/>
    </row>
    <row r="319" spans="14:80" x14ac:dyDescent="0.25">
      <c r="N319"/>
      <c r="AA319" s="85"/>
      <c r="BK319" s="51"/>
      <c r="BL319" s="51"/>
      <c r="BM319" s="51"/>
      <c r="BN319" s="51"/>
      <c r="BO319" s="51"/>
      <c r="BP319" s="51"/>
      <c r="BQ319" s="51"/>
      <c r="BR319" s="51"/>
      <c r="BS319" s="51"/>
      <c r="BT319" s="51"/>
      <c r="BU319" s="51"/>
      <c r="BV319" s="51"/>
      <c r="BW319" s="51"/>
      <c r="BZ319" s="51"/>
      <c r="CA319" s="51"/>
      <c r="CB319" s="51"/>
    </row>
    <row r="320" spans="14:80" x14ac:dyDescent="0.25">
      <c r="N320"/>
      <c r="AA320" s="85"/>
      <c r="BK320" s="51"/>
      <c r="BL320" s="51"/>
      <c r="BM320" s="51"/>
      <c r="BN320" s="51"/>
      <c r="BO320" s="51"/>
      <c r="BP320" s="51"/>
    </row>
    <row r="321" spans="14:80" x14ac:dyDescent="0.25">
      <c r="N321"/>
      <c r="AA321" s="85"/>
      <c r="BK321" s="51"/>
      <c r="BL321" s="51"/>
      <c r="BM321" s="51"/>
      <c r="BN321" s="51"/>
      <c r="BO321" s="51"/>
      <c r="BP321" s="51"/>
    </row>
    <row r="322" spans="14:80" x14ac:dyDescent="0.25">
      <c r="AA322" s="85"/>
    </row>
    <row r="323" spans="14:80" x14ac:dyDescent="0.25">
      <c r="AA323" s="85"/>
    </row>
    <row r="325" spans="14:80" x14ac:dyDescent="0.25">
      <c r="N325"/>
      <c r="AA325" s="85"/>
      <c r="BK325" s="51"/>
      <c r="BL325" s="51"/>
      <c r="BM325" s="51"/>
      <c r="BN325" s="51"/>
      <c r="BO325" s="51"/>
      <c r="BP325" s="51"/>
      <c r="BQ325" s="51"/>
      <c r="BR325" s="51"/>
      <c r="BS325" s="51"/>
      <c r="BT325" s="51"/>
    </row>
    <row r="326" spans="14:80" x14ac:dyDescent="0.25">
      <c r="N326"/>
      <c r="AA326" s="85"/>
      <c r="BK326" s="51"/>
      <c r="BL326" s="51"/>
      <c r="BM326" s="51"/>
      <c r="BN326" s="51"/>
      <c r="BO326" s="51"/>
      <c r="BP326" s="51"/>
      <c r="BQ326" s="51"/>
      <c r="BR326" s="51"/>
      <c r="BS326" s="51"/>
      <c r="BT326" s="51"/>
      <c r="BU326" s="51"/>
      <c r="BV326" s="51"/>
      <c r="BW326" s="51"/>
      <c r="BZ326" s="51"/>
      <c r="CA326" s="51"/>
      <c r="CB326" s="51"/>
    </row>
    <row r="327" spans="14:80" x14ac:dyDescent="0.25">
      <c r="N327"/>
      <c r="AA327" s="85"/>
      <c r="BK327" s="51"/>
      <c r="BL327" s="51"/>
      <c r="BM327" s="51"/>
      <c r="BN327" s="51"/>
      <c r="BO327" s="51"/>
      <c r="BP327" s="51"/>
    </row>
    <row r="328" spans="14:80" x14ac:dyDescent="0.25">
      <c r="N328"/>
      <c r="AA328" s="85"/>
      <c r="BK328" s="51"/>
      <c r="BL328" s="51"/>
      <c r="BM328" s="51"/>
      <c r="BN328" s="51"/>
      <c r="BO328" s="51"/>
      <c r="BP328" s="51"/>
    </row>
    <row r="329" spans="14:80" x14ac:dyDescent="0.25">
      <c r="AA329" s="85"/>
    </row>
    <row r="330" spans="14:80" x14ac:dyDescent="0.25">
      <c r="AA330" s="85"/>
    </row>
    <row r="331" spans="14:80" x14ac:dyDescent="0.25">
      <c r="AA331" s="85"/>
    </row>
    <row r="332" spans="14:80" x14ac:dyDescent="0.25">
      <c r="N332"/>
      <c r="AA332" s="85"/>
      <c r="BK332" s="51"/>
      <c r="BL332" s="51"/>
      <c r="BM332" s="51"/>
      <c r="BN332" s="51"/>
      <c r="BO332" s="51"/>
      <c r="BP332" s="51"/>
      <c r="BQ332" s="51"/>
      <c r="BR332" s="51"/>
      <c r="BS332" s="51"/>
      <c r="BT332" s="51"/>
    </row>
    <row r="333" spans="14:80" x14ac:dyDescent="0.25">
      <c r="N333"/>
      <c r="AA333" s="85"/>
      <c r="BK333" s="51"/>
      <c r="BL333" s="51"/>
      <c r="BM333" s="51"/>
      <c r="BN333" s="51"/>
      <c r="BO333" s="51"/>
      <c r="BP333" s="51"/>
      <c r="BQ333" s="51"/>
      <c r="BR333" s="51"/>
      <c r="BS333" s="51"/>
      <c r="BT333" s="51"/>
      <c r="BU333" s="51"/>
      <c r="BV333" s="51"/>
      <c r="BW333" s="51"/>
      <c r="BZ333" s="51"/>
      <c r="CA333" s="51"/>
      <c r="CB333" s="51"/>
    </row>
    <row r="334" spans="14:80" x14ac:dyDescent="0.25">
      <c r="N334"/>
      <c r="AA334" s="85"/>
      <c r="BK334" s="51"/>
      <c r="BL334" s="51"/>
      <c r="BM334" s="51"/>
      <c r="BN334" s="51"/>
      <c r="BO334" s="51"/>
      <c r="BP334" s="51"/>
    </row>
    <row r="335" spans="14:80" x14ac:dyDescent="0.25">
      <c r="N335"/>
      <c r="AA335" s="85"/>
      <c r="BK335" s="51"/>
      <c r="BL335" s="51"/>
      <c r="BM335" s="51"/>
      <c r="BN335" s="51"/>
      <c r="BO335" s="51"/>
      <c r="BP335" s="51"/>
    </row>
    <row r="336" spans="14:80" x14ac:dyDescent="0.25">
      <c r="AA336" s="85"/>
    </row>
    <row r="337" spans="14:80" x14ac:dyDescent="0.25">
      <c r="AA337" s="85"/>
    </row>
    <row r="339" spans="14:80" x14ac:dyDescent="0.25">
      <c r="N339"/>
      <c r="AA339" s="85"/>
      <c r="BK339" s="51"/>
      <c r="BL339" s="51"/>
      <c r="BM339" s="51"/>
      <c r="BN339" s="51"/>
      <c r="BO339" s="51"/>
      <c r="BP339" s="51"/>
      <c r="BQ339" s="51"/>
      <c r="BR339" s="51"/>
      <c r="BS339" s="51"/>
      <c r="BT339" s="51"/>
    </row>
    <row r="340" spans="14:80" x14ac:dyDescent="0.25">
      <c r="N340"/>
      <c r="AA340" s="85"/>
      <c r="BK340" s="51"/>
      <c r="BL340" s="51"/>
      <c r="BM340" s="51"/>
      <c r="BN340" s="51"/>
      <c r="BO340" s="51"/>
      <c r="BP340" s="51"/>
      <c r="BQ340" s="51"/>
      <c r="BR340" s="51"/>
      <c r="BS340" s="51"/>
      <c r="BT340" s="51"/>
      <c r="BU340" s="51"/>
      <c r="BV340" s="51"/>
      <c r="BW340" s="51"/>
      <c r="BZ340" s="51"/>
      <c r="CA340" s="51"/>
      <c r="CB340" s="51"/>
    </row>
    <row r="341" spans="14:80" x14ac:dyDescent="0.25">
      <c r="N341"/>
      <c r="AA341" s="85"/>
      <c r="BK341" s="51"/>
      <c r="BL341" s="51"/>
      <c r="BM341" s="51"/>
      <c r="BN341" s="51"/>
      <c r="BO341" s="51"/>
      <c r="BP341" s="51"/>
    </row>
    <row r="342" spans="14:80" x14ac:dyDescent="0.25">
      <c r="N342"/>
      <c r="AA342" s="85"/>
      <c r="BK342" s="51"/>
      <c r="BL342" s="51"/>
      <c r="BM342" s="51"/>
      <c r="BN342" s="51"/>
      <c r="BO342" s="51"/>
      <c r="BP342" s="51"/>
    </row>
    <row r="343" spans="14:80" x14ac:dyDescent="0.25">
      <c r="AA343" s="85"/>
    </row>
    <row r="344" spans="14:80" x14ac:dyDescent="0.25">
      <c r="AA344" s="85"/>
    </row>
    <row r="346" spans="14:80" x14ac:dyDescent="0.25">
      <c r="N346"/>
      <c r="AA346" s="85"/>
      <c r="BK346" s="51"/>
      <c r="BL346" s="51"/>
      <c r="BM346" s="51"/>
      <c r="BN346" s="51"/>
      <c r="BO346" s="51"/>
      <c r="BP346" s="51"/>
      <c r="BQ346" s="51"/>
      <c r="BR346" s="51"/>
      <c r="BS346" s="51"/>
      <c r="BT346" s="51"/>
    </row>
    <row r="347" spans="14:80" x14ac:dyDescent="0.25">
      <c r="N347"/>
      <c r="AA347" s="85"/>
      <c r="BK347" s="51"/>
      <c r="BL347" s="51"/>
      <c r="BM347" s="51"/>
      <c r="BN347" s="51"/>
      <c r="BO347" s="51"/>
      <c r="BP347" s="51"/>
      <c r="BQ347" s="51"/>
      <c r="BR347" s="51"/>
      <c r="BS347" s="51"/>
      <c r="BT347" s="51"/>
      <c r="BU347" s="51"/>
      <c r="BV347" s="51"/>
      <c r="BW347" s="51"/>
      <c r="BZ347" s="51"/>
      <c r="CA347" s="51"/>
      <c r="CB347" s="51"/>
    </row>
    <row r="348" spans="14:80" x14ac:dyDescent="0.25">
      <c r="N348"/>
      <c r="AA348" s="85"/>
      <c r="BK348" s="51"/>
      <c r="BL348" s="51"/>
      <c r="BM348" s="51"/>
      <c r="BN348" s="51"/>
      <c r="BO348" s="51"/>
      <c r="BP348" s="51"/>
    </row>
    <row r="349" spans="14:80" x14ac:dyDescent="0.25">
      <c r="N349"/>
      <c r="AA349" s="85"/>
      <c r="BK349" s="51"/>
      <c r="BL349" s="51"/>
      <c r="BM349" s="51"/>
      <c r="BN349" s="51"/>
      <c r="BO349" s="51"/>
      <c r="BP349" s="51"/>
    </row>
    <row r="350" spans="14:80" x14ac:dyDescent="0.25">
      <c r="AA350" s="85"/>
    </row>
    <row r="351" spans="14:80" x14ac:dyDescent="0.25">
      <c r="AA351" s="85"/>
    </row>
    <row r="353" spans="14:80" x14ac:dyDescent="0.25">
      <c r="N353"/>
      <c r="AA353" s="85"/>
      <c r="BK353" s="51"/>
      <c r="BL353" s="51"/>
      <c r="BM353" s="51"/>
      <c r="BN353" s="51"/>
      <c r="BO353" s="51"/>
      <c r="BP353" s="51"/>
      <c r="BQ353" s="51"/>
      <c r="BR353" s="51"/>
      <c r="BS353" s="51"/>
      <c r="BT353" s="51"/>
    </row>
    <row r="354" spans="14:80" x14ac:dyDescent="0.25">
      <c r="N354"/>
      <c r="AA354" s="85"/>
      <c r="BK354" s="51"/>
      <c r="BL354" s="51"/>
      <c r="BM354" s="51"/>
      <c r="BN354" s="51"/>
      <c r="BO354" s="51"/>
      <c r="BP354" s="51"/>
      <c r="BQ354" s="51"/>
      <c r="BR354" s="51"/>
      <c r="BS354" s="51"/>
      <c r="BT354" s="51"/>
      <c r="BU354" s="51"/>
      <c r="BV354" s="51"/>
      <c r="BW354" s="51"/>
      <c r="BZ354" s="51"/>
      <c r="CA354" s="51"/>
      <c r="CB354" s="51"/>
    </row>
    <row r="355" spans="14:80" x14ac:dyDescent="0.25">
      <c r="N355"/>
      <c r="AA355" s="85"/>
      <c r="BK355" s="51"/>
      <c r="BL355" s="51"/>
      <c r="BM355" s="51"/>
      <c r="BN355" s="51"/>
      <c r="BO355" s="51"/>
      <c r="BP355" s="51"/>
    </row>
    <row r="356" spans="14:80" x14ac:dyDescent="0.25">
      <c r="N356"/>
      <c r="AA356" s="85"/>
      <c r="BK356" s="51"/>
      <c r="BL356" s="51"/>
      <c r="BM356" s="51"/>
      <c r="BN356" s="51"/>
      <c r="BO356" s="51"/>
      <c r="BP356" s="51"/>
    </row>
    <row r="357" spans="14:80" x14ac:dyDescent="0.25">
      <c r="AA357" s="85"/>
    </row>
    <row r="358" spans="14:80" x14ac:dyDescent="0.25">
      <c r="AA358" s="85"/>
    </row>
    <row r="360" spans="14:80" x14ac:dyDescent="0.25">
      <c r="N360"/>
      <c r="AA360" s="85"/>
      <c r="BK360" s="51"/>
      <c r="BL360" s="51"/>
      <c r="BM360" s="51"/>
      <c r="BN360" s="51"/>
      <c r="BO360" s="51"/>
      <c r="BP360" s="51"/>
      <c r="BQ360" s="51"/>
      <c r="BR360" s="51"/>
      <c r="BS360" s="51"/>
      <c r="BT360" s="51"/>
    </row>
    <row r="361" spans="14:80" x14ac:dyDescent="0.25">
      <c r="N361"/>
      <c r="AA361" s="85"/>
      <c r="BK361" s="51"/>
      <c r="BL361" s="51"/>
      <c r="BM361" s="51"/>
      <c r="BN361" s="51"/>
      <c r="BO361" s="51"/>
      <c r="BP361" s="51"/>
      <c r="BQ361" s="51"/>
      <c r="BR361" s="51"/>
      <c r="BS361" s="51"/>
      <c r="BT361" s="51"/>
      <c r="BU361" s="51"/>
      <c r="BV361" s="51"/>
      <c r="BW361" s="51"/>
      <c r="BZ361" s="51"/>
      <c r="CA361" s="51"/>
      <c r="CB361" s="51"/>
    </row>
    <row r="362" spans="14:80" x14ac:dyDescent="0.25">
      <c r="N362"/>
      <c r="AA362" s="85"/>
      <c r="BK362" s="51"/>
      <c r="BL362" s="51"/>
      <c r="BM362" s="51"/>
      <c r="BN362" s="51"/>
      <c r="BO362" s="51"/>
      <c r="BP362" s="51"/>
    </row>
    <row r="363" spans="14:80" x14ac:dyDescent="0.25">
      <c r="N363"/>
      <c r="AA363" s="85"/>
      <c r="BK363" s="51"/>
      <c r="BL363" s="51"/>
      <c r="BM363" s="51"/>
      <c r="BN363" s="51"/>
      <c r="BO363" s="51"/>
      <c r="BP363" s="51"/>
    </row>
    <row r="364" spans="14:80" x14ac:dyDescent="0.25">
      <c r="AA364" s="85"/>
    </row>
    <row r="365" spans="14:80" x14ac:dyDescent="0.25">
      <c r="AA365" s="85"/>
    </row>
    <row r="366" spans="14:80" x14ac:dyDescent="0.25">
      <c r="AA366" s="85"/>
    </row>
    <row r="367" spans="14:80" x14ac:dyDescent="0.25">
      <c r="N367"/>
      <c r="AA367" s="85"/>
      <c r="BK367" s="51"/>
      <c r="BL367" s="51"/>
      <c r="BM367" s="51"/>
      <c r="BN367" s="51"/>
      <c r="BO367" s="51"/>
      <c r="BP367" s="51"/>
      <c r="BQ367" s="51"/>
      <c r="BR367" s="51"/>
      <c r="BS367" s="51"/>
      <c r="BT367" s="51"/>
    </row>
    <row r="368" spans="14:80" x14ac:dyDescent="0.25">
      <c r="N368"/>
      <c r="AA368" s="85"/>
      <c r="BK368" s="51"/>
      <c r="BL368" s="51"/>
      <c r="BM368" s="51"/>
      <c r="BN368" s="51"/>
      <c r="BO368" s="51"/>
      <c r="BP368" s="51"/>
      <c r="BQ368" s="51"/>
      <c r="BR368" s="51"/>
      <c r="BS368" s="51"/>
      <c r="BT368" s="51"/>
      <c r="BU368" s="51"/>
      <c r="BV368" s="51"/>
      <c r="BW368" s="51"/>
      <c r="BZ368" s="51"/>
      <c r="CA368" s="51"/>
      <c r="CB368" s="51"/>
    </row>
    <row r="369" spans="14:80" x14ac:dyDescent="0.25">
      <c r="N369"/>
      <c r="AA369" s="85"/>
      <c r="BK369" s="51"/>
      <c r="BL369" s="51"/>
      <c r="BM369" s="51"/>
      <c r="BN369" s="51"/>
      <c r="BO369" s="51"/>
      <c r="BP369" s="51"/>
    </row>
    <row r="370" spans="14:80" x14ac:dyDescent="0.25">
      <c r="N370"/>
      <c r="AA370" s="85"/>
      <c r="BK370" s="51"/>
      <c r="BL370" s="51"/>
      <c r="BM370" s="51"/>
      <c r="BN370" s="51"/>
      <c r="BO370" s="51"/>
      <c r="BP370" s="51"/>
    </row>
    <row r="371" spans="14:80" x14ac:dyDescent="0.25">
      <c r="AA371" s="85"/>
    </row>
    <row r="372" spans="14:80" x14ac:dyDescent="0.25">
      <c r="AA372" s="85"/>
    </row>
    <row r="374" spans="14:80" x14ac:dyDescent="0.25">
      <c r="N374"/>
      <c r="AA374" s="85"/>
      <c r="BK374" s="51"/>
      <c r="BL374" s="51"/>
      <c r="BM374" s="51"/>
      <c r="BN374" s="51"/>
      <c r="BO374" s="51"/>
      <c r="BP374" s="51"/>
      <c r="BQ374" s="51"/>
      <c r="BR374" s="51"/>
      <c r="BS374" s="51"/>
      <c r="BT374" s="51"/>
    </row>
    <row r="375" spans="14:80" x14ac:dyDescent="0.25">
      <c r="N375"/>
      <c r="AA375" s="85"/>
      <c r="BK375" s="51"/>
      <c r="BL375" s="51"/>
      <c r="BM375" s="51"/>
      <c r="BN375" s="51"/>
      <c r="BO375" s="51"/>
      <c r="BP375" s="51"/>
      <c r="BQ375" s="51"/>
      <c r="BR375" s="51"/>
      <c r="BS375" s="51"/>
      <c r="BT375" s="51"/>
      <c r="BU375" s="51"/>
      <c r="BV375" s="51"/>
      <c r="BW375" s="51"/>
      <c r="BZ375" s="51"/>
      <c r="CA375" s="51"/>
      <c r="CB375" s="51"/>
    </row>
    <row r="376" spans="14:80" x14ac:dyDescent="0.25">
      <c r="N376"/>
      <c r="AA376" s="85"/>
      <c r="BK376" s="51"/>
      <c r="BL376" s="51"/>
      <c r="BM376" s="51"/>
      <c r="BN376" s="51"/>
      <c r="BO376" s="51"/>
      <c r="BP376" s="51"/>
    </row>
    <row r="377" spans="14:80" x14ac:dyDescent="0.25">
      <c r="N377"/>
      <c r="AA377" s="85"/>
      <c r="BK377" s="51"/>
      <c r="BL377" s="51"/>
      <c r="BM377" s="51"/>
      <c r="BN377" s="51"/>
      <c r="BO377" s="51"/>
      <c r="BP377" s="51"/>
    </row>
    <row r="378" spans="14:80" x14ac:dyDescent="0.25">
      <c r="AA378" s="85"/>
    </row>
    <row r="379" spans="14:80" x14ac:dyDescent="0.25">
      <c r="AA379" s="85"/>
    </row>
    <row r="381" spans="14:80" x14ac:dyDescent="0.25">
      <c r="N381"/>
      <c r="AA381" s="85"/>
      <c r="BK381" s="51"/>
      <c r="BL381" s="51"/>
      <c r="BM381" s="51"/>
      <c r="BN381" s="51"/>
      <c r="BO381" s="51"/>
      <c r="BP381" s="51"/>
      <c r="BQ381" s="51"/>
      <c r="BR381" s="51"/>
      <c r="BS381" s="51"/>
      <c r="BT381" s="51"/>
    </row>
    <row r="382" spans="14:80" x14ac:dyDescent="0.25">
      <c r="N382"/>
      <c r="AA382" s="85"/>
      <c r="BK382" s="51"/>
      <c r="BL382" s="51"/>
      <c r="BM382" s="51"/>
      <c r="BN382" s="51"/>
      <c r="BO382" s="51"/>
      <c r="BP382" s="51"/>
      <c r="BQ382" s="51"/>
      <c r="BR382" s="51"/>
      <c r="BS382" s="51"/>
      <c r="BT382" s="51"/>
      <c r="BU382" s="51"/>
      <c r="BV382" s="51"/>
      <c r="BW382" s="51"/>
      <c r="BZ382" s="51"/>
      <c r="CA382" s="51"/>
      <c r="CB382" s="51"/>
    </row>
    <row r="383" spans="14:80" x14ac:dyDescent="0.25">
      <c r="N383"/>
      <c r="AA383" s="85"/>
      <c r="BK383" s="51"/>
      <c r="BL383" s="51"/>
      <c r="BM383" s="51"/>
      <c r="BN383" s="51"/>
      <c r="BO383" s="51"/>
      <c r="BP383" s="51"/>
    </row>
    <row r="384" spans="14:80" x14ac:dyDescent="0.25">
      <c r="N384"/>
      <c r="AA384" s="85"/>
      <c r="BK384" s="51"/>
      <c r="BL384" s="51"/>
      <c r="BM384" s="51"/>
      <c r="BN384" s="51"/>
      <c r="BO384" s="51"/>
      <c r="BP384" s="51"/>
    </row>
    <row r="385" spans="14:80" x14ac:dyDescent="0.25">
      <c r="AA385" s="85"/>
    </row>
    <row r="386" spans="14:80" x14ac:dyDescent="0.25">
      <c r="AA386" s="85"/>
    </row>
    <row r="388" spans="14:80" x14ac:dyDescent="0.25">
      <c r="N388"/>
      <c r="AA388" s="85"/>
      <c r="BK388" s="51"/>
      <c r="BL388" s="51"/>
      <c r="BM388" s="51"/>
      <c r="BN388" s="51"/>
      <c r="BO388" s="51"/>
      <c r="BP388" s="51"/>
      <c r="BQ388" s="51"/>
      <c r="BR388" s="51"/>
      <c r="BS388" s="51"/>
      <c r="BT388" s="51"/>
    </row>
    <row r="389" spans="14:80" x14ac:dyDescent="0.25">
      <c r="N389"/>
      <c r="AA389" s="85"/>
      <c r="BK389" s="51"/>
      <c r="BL389" s="51"/>
      <c r="BM389" s="51"/>
      <c r="BN389" s="51"/>
      <c r="BO389" s="51"/>
      <c r="BP389" s="51"/>
      <c r="BQ389" s="51"/>
      <c r="BR389" s="51"/>
      <c r="BS389" s="51"/>
      <c r="BT389" s="51"/>
      <c r="BU389" s="51"/>
      <c r="BV389" s="51"/>
      <c r="BW389" s="51"/>
      <c r="BZ389" s="51"/>
      <c r="CA389" s="51"/>
      <c r="CB389" s="51"/>
    </row>
    <row r="390" spans="14:80" x14ac:dyDescent="0.25">
      <c r="N390"/>
      <c r="AA390" s="85"/>
      <c r="BK390" s="51"/>
      <c r="BL390" s="51"/>
      <c r="BM390" s="51"/>
      <c r="BN390" s="51"/>
      <c r="BO390" s="51"/>
      <c r="BP390" s="51"/>
    </row>
    <row r="391" spans="14:80" x14ac:dyDescent="0.25">
      <c r="N391"/>
      <c r="AA391" s="85"/>
      <c r="BK391" s="51"/>
      <c r="BL391" s="51"/>
      <c r="BM391" s="51"/>
      <c r="BN391" s="51"/>
      <c r="BO391" s="51"/>
      <c r="BP391" s="51"/>
    </row>
    <row r="392" spans="14:80" x14ac:dyDescent="0.25">
      <c r="AA392" s="85"/>
    </row>
    <row r="393" spans="14:80" x14ac:dyDescent="0.25">
      <c r="AA393" s="85"/>
    </row>
    <row r="395" spans="14:80" x14ac:dyDescent="0.25">
      <c r="N395"/>
      <c r="AA395" s="85"/>
      <c r="BK395" s="51"/>
      <c r="BL395" s="51"/>
      <c r="BM395" s="51"/>
      <c r="BN395" s="51"/>
      <c r="BO395" s="51"/>
      <c r="BP395" s="51"/>
      <c r="BQ395" s="51"/>
      <c r="BR395" s="51"/>
      <c r="BS395" s="51"/>
      <c r="BT395" s="51"/>
    </row>
    <row r="396" spans="14:80" x14ac:dyDescent="0.25">
      <c r="N396"/>
      <c r="AA396" s="85"/>
      <c r="BK396" s="51"/>
      <c r="BL396" s="51"/>
      <c r="BM396" s="51"/>
      <c r="BN396" s="51"/>
      <c r="BO396" s="51"/>
      <c r="BP396" s="51"/>
      <c r="BQ396" s="51"/>
      <c r="BR396" s="51"/>
      <c r="BS396" s="51"/>
      <c r="BT396" s="51"/>
      <c r="BU396" s="51"/>
      <c r="BV396" s="51"/>
      <c r="BW396" s="51"/>
      <c r="BZ396" s="51"/>
      <c r="CA396" s="51"/>
      <c r="CB396" s="51"/>
    </row>
    <row r="397" spans="14:80" x14ac:dyDescent="0.25">
      <c r="N397"/>
      <c r="AA397" s="85"/>
      <c r="BK397" s="51"/>
      <c r="BL397" s="51"/>
      <c r="BM397" s="51"/>
      <c r="BN397" s="51"/>
      <c r="BO397" s="51"/>
      <c r="BP397" s="51"/>
    </row>
    <row r="398" spans="14:80" x14ac:dyDescent="0.25">
      <c r="N398"/>
      <c r="AA398" s="85"/>
      <c r="BK398" s="51"/>
      <c r="BL398" s="51"/>
      <c r="BM398" s="51"/>
      <c r="BN398" s="51"/>
      <c r="BO398" s="51"/>
      <c r="BP398" s="51"/>
    </row>
    <row r="399" spans="14:80" x14ac:dyDescent="0.25">
      <c r="AA399" s="85"/>
    </row>
    <row r="400" spans="14:80" x14ac:dyDescent="0.25">
      <c r="AA400" s="85"/>
    </row>
    <row r="401" spans="14:80" x14ac:dyDescent="0.25">
      <c r="AA401" s="85"/>
    </row>
    <row r="402" spans="14:80" x14ac:dyDescent="0.25">
      <c r="N402"/>
      <c r="AA402" s="85"/>
      <c r="BK402" s="51"/>
      <c r="BL402" s="51"/>
      <c r="BM402" s="51"/>
      <c r="BN402" s="51"/>
      <c r="BO402" s="51"/>
      <c r="BP402" s="51"/>
      <c r="BQ402" s="51"/>
      <c r="BR402" s="51"/>
      <c r="BS402" s="51"/>
      <c r="BT402" s="51"/>
    </row>
    <row r="403" spans="14:80" x14ac:dyDescent="0.25">
      <c r="N403"/>
      <c r="AA403" s="85"/>
      <c r="BK403" s="51"/>
      <c r="BL403" s="51"/>
      <c r="BM403" s="51"/>
      <c r="BN403" s="51"/>
      <c r="BO403" s="51"/>
      <c r="BP403" s="51"/>
      <c r="BQ403" s="51"/>
      <c r="BR403" s="51"/>
      <c r="BS403" s="51"/>
      <c r="BT403" s="51"/>
      <c r="BU403" s="51"/>
      <c r="BV403" s="51"/>
      <c r="BW403" s="51"/>
      <c r="BZ403" s="51"/>
      <c r="CA403" s="51"/>
      <c r="CB403" s="51"/>
    </row>
    <row r="404" spans="14:80" x14ac:dyDescent="0.25">
      <c r="N404"/>
      <c r="AA404" s="85"/>
      <c r="BK404" s="51"/>
      <c r="BL404" s="51"/>
      <c r="BM404" s="51"/>
      <c r="BN404" s="51"/>
      <c r="BO404" s="51"/>
      <c r="BP404" s="51"/>
    </row>
    <row r="405" spans="14:80" x14ac:dyDescent="0.25">
      <c r="N405"/>
      <c r="AA405" s="85"/>
      <c r="BK405" s="51"/>
      <c r="BL405" s="51"/>
      <c r="BM405" s="51"/>
      <c r="BN405" s="51"/>
      <c r="BO405" s="51"/>
      <c r="BP405" s="51"/>
    </row>
    <row r="406" spans="14:80" x14ac:dyDescent="0.25">
      <c r="AA406" s="85"/>
    </row>
    <row r="407" spans="14:80" x14ac:dyDescent="0.25">
      <c r="AA407" s="85"/>
    </row>
    <row r="409" spans="14:80" x14ac:dyDescent="0.25">
      <c r="N409"/>
      <c r="AA409" s="85"/>
      <c r="BK409" s="51"/>
      <c r="BL409" s="51"/>
      <c r="BM409" s="51"/>
      <c r="BN409" s="51"/>
      <c r="BO409" s="51"/>
      <c r="BP409" s="51"/>
      <c r="BQ409" s="51"/>
      <c r="BR409" s="51"/>
      <c r="BS409" s="51"/>
      <c r="BT409" s="51"/>
    </row>
    <row r="410" spans="14:80" x14ac:dyDescent="0.25">
      <c r="N410"/>
      <c r="AA410" s="85"/>
      <c r="BK410" s="51"/>
      <c r="BL410" s="51"/>
      <c r="BM410" s="51"/>
      <c r="BN410" s="51"/>
      <c r="BO410" s="51"/>
      <c r="BP410" s="51"/>
      <c r="BQ410" s="51"/>
      <c r="BR410" s="51"/>
      <c r="BS410" s="51"/>
      <c r="BT410" s="51"/>
      <c r="BU410" s="51"/>
      <c r="BV410" s="51"/>
      <c r="BW410" s="51"/>
      <c r="BZ410" s="51"/>
      <c r="CA410" s="51"/>
      <c r="CB410" s="51"/>
    </row>
    <row r="411" spans="14:80" x14ac:dyDescent="0.25">
      <c r="N411"/>
      <c r="AA411" s="85"/>
      <c r="BK411" s="51"/>
      <c r="BL411" s="51"/>
      <c r="BM411" s="51"/>
      <c r="BN411" s="51"/>
      <c r="BO411" s="51"/>
      <c r="BP411" s="51"/>
    </row>
    <row r="412" spans="14:80" x14ac:dyDescent="0.25">
      <c r="N412"/>
      <c r="AA412" s="85"/>
      <c r="BK412" s="51"/>
      <c r="BL412" s="51"/>
      <c r="BM412" s="51"/>
      <c r="BN412" s="51"/>
      <c r="BO412" s="51"/>
      <c r="BP412" s="51"/>
    </row>
    <row r="413" spans="14:80" x14ac:dyDescent="0.25">
      <c r="AA413" s="85"/>
    </row>
    <row r="414" spans="14:80" x14ac:dyDescent="0.25">
      <c r="AA414" s="85"/>
    </row>
    <row r="416" spans="14:80" x14ac:dyDescent="0.25">
      <c r="N416"/>
      <c r="AA416" s="85"/>
      <c r="BK416" s="51"/>
      <c r="BL416" s="51"/>
      <c r="BM416" s="51"/>
      <c r="BN416" s="51"/>
      <c r="BO416" s="51"/>
      <c r="BP416" s="51"/>
      <c r="BQ416" s="51"/>
      <c r="BR416" s="51"/>
      <c r="BS416" s="51"/>
      <c r="BT416" s="51"/>
    </row>
    <row r="417" spans="14:80" x14ac:dyDescent="0.25">
      <c r="N417"/>
      <c r="AA417" s="85"/>
      <c r="BK417" s="51"/>
      <c r="BL417" s="51"/>
      <c r="BM417" s="51"/>
      <c r="BN417" s="51"/>
      <c r="BO417" s="51"/>
      <c r="BP417" s="51"/>
      <c r="BQ417" s="51"/>
      <c r="BR417" s="51"/>
      <c r="BS417" s="51"/>
      <c r="BT417" s="51"/>
      <c r="BU417" s="51"/>
      <c r="BV417" s="51"/>
      <c r="BW417" s="51"/>
      <c r="BZ417" s="51"/>
      <c r="CA417" s="51"/>
      <c r="CB417" s="51"/>
    </row>
    <row r="418" spans="14:80" x14ac:dyDescent="0.25">
      <c r="N418"/>
      <c r="AA418" s="85"/>
      <c r="BK418" s="51"/>
      <c r="BL418" s="51"/>
      <c r="BM418" s="51"/>
      <c r="BN418" s="51"/>
      <c r="BO418" s="51"/>
      <c r="BP418" s="51"/>
    </row>
    <row r="419" spans="14:80" x14ac:dyDescent="0.25">
      <c r="N419"/>
      <c r="AA419" s="85"/>
      <c r="BK419" s="51"/>
      <c r="BL419" s="51"/>
      <c r="BM419" s="51"/>
      <c r="BN419" s="51"/>
      <c r="BO419" s="51"/>
      <c r="BP419" s="51"/>
    </row>
    <row r="420" spans="14:80" x14ac:dyDescent="0.25">
      <c r="AA420" s="85"/>
    </row>
    <row r="421" spans="14:80" x14ac:dyDescent="0.25">
      <c r="AA421" s="85"/>
    </row>
    <row r="423" spans="14:80" x14ac:dyDescent="0.25">
      <c r="N423"/>
      <c r="AA423" s="85"/>
      <c r="BK423" s="51"/>
      <c r="BL423" s="51"/>
      <c r="BM423" s="51"/>
      <c r="BN423" s="51"/>
      <c r="BO423" s="51"/>
      <c r="BP423" s="51"/>
      <c r="BQ423" s="51"/>
      <c r="BR423" s="51"/>
      <c r="BS423" s="51"/>
      <c r="BT423" s="51"/>
    </row>
    <row r="424" spans="14:80" x14ac:dyDescent="0.25">
      <c r="N424"/>
      <c r="AA424" s="85"/>
      <c r="BK424" s="51"/>
      <c r="BL424" s="51"/>
      <c r="BM424" s="51"/>
      <c r="BN424" s="51"/>
      <c r="BO424" s="51"/>
      <c r="BP424" s="51"/>
      <c r="BQ424" s="51"/>
      <c r="BR424" s="51"/>
      <c r="BS424" s="51"/>
      <c r="BT424" s="51"/>
      <c r="BU424" s="51"/>
      <c r="BV424" s="51"/>
      <c r="BW424" s="51"/>
      <c r="BZ424" s="51"/>
      <c r="CA424" s="51"/>
      <c r="CB424" s="51"/>
    </row>
    <row r="425" spans="14:80" x14ac:dyDescent="0.25">
      <c r="N425"/>
      <c r="AA425" s="85"/>
      <c r="BK425" s="51"/>
      <c r="BL425" s="51"/>
      <c r="BM425" s="51"/>
      <c r="BN425" s="51"/>
      <c r="BO425" s="51"/>
      <c r="BP425" s="51"/>
    </row>
    <row r="426" spans="14:80" x14ac:dyDescent="0.25">
      <c r="N426"/>
      <c r="AA426" s="85"/>
      <c r="BK426" s="51"/>
      <c r="BL426" s="51"/>
      <c r="BM426" s="51"/>
      <c r="BN426" s="51"/>
      <c r="BO426" s="51"/>
      <c r="BP426" s="51"/>
    </row>
    <row r="427" spans="14:80" x14ac:dyDescent="0.25">
      <c r="AA427" s="85"/>
    </row>
    <row r="428" spans="14:80" x14ac:dyDescent="0.25">
      <c r="AA428" s="85"/>
    </row>
    <row r="430" spans="14:80" x14ac:dyDescent="0.25">
      <c r="N430"/>
      <c r="AA430" s="85"/>
      <c r="BK430" s="51"/>
      <c r="BL430" s="51"/>
      <c r="BM430" s="51"/>
      <c r="BN430" s="51"/>
      <c r="BO430" s="51"/>
      <c r="BP430" s="51"/>
      <c r="BQ430" s="51"/>
      <c r="BR430" s="51"/>
      <c r="BS430" s="51"/>
      <c r="BT430" s="51"/>
    </row>
    <row r="431" spans="14:80" x14ac:dyDescent="0.25">
      <c r="N431"/>
      <c r="AA431" s="85"/>
      <c r="BK431" s="51"/>
      <c r="BL431" s="51"/>
      <c r="BM431" s="51"/>
      <c r="BN431" s="51"/>
      <c r="BO431" s="51"/>
      <c r="BP431" s="51"/>
      <c r="BQ431" s="51"/>
      <c r="BR431" s="51"/>
      <c r="BS431" s="51"/>
      <c r="BT431" s="51"/>
      <c r="BU431" s="51"/>
      <c r="BV431" s="51"/>
      <c r="BW431" s="51"/>
      <c r="BZ431" s="51"/>
      <c r="CA431" s="51"/>
      <c r="CB431" s="51"/>
    </row>
    <row r="432" spans="14:80" x14ac:dyDescent="0.25">
      <c r="N432"/>
      <c r="AA432" s="85"/>
      <c r="BK432" s="51"/>
      <c r="BL432" s="51"/>
      <c r="BM432" s="51"/>
      <c r="BN432" s="51"/>
      <c r="BO432" s="51"/>
      <c r="BP432" s="51"/>
    </row>
    <row r="433" spans="14:80" x14ac:dyDescent="0.25">
      <c r="N433"/>
      <c r="AA433" s="85"/>
      <c r="BK433" s="51"/>
      <c r="BL433" s="51"/>
      <c r="BM433" s="51"/>
      <c r="BN433" s="51"/>
      <c r="BO433" s="51"/>
      <c r="BP433" s="51"/>
    </row>
    <row r="434" spans="14:80" x14ac:dyDescent="0.25">
      <c r="AA434" s="85"/>
    </row>
    <row r="435" spans="14:80" x14ac:dyDescent="0.25">
      <c r="AA435" s="85"/>
    </row>
    <row r="436" spans="14:80" x14ac:dyDescent="0.25">
      <c r="AA436" s="85"/>
    </row>
    <row r="437" spans="14:80" x14ac:dyDescent="0.25">
      <c r="N437"/>
      <c r="AA437" s="85"/>
      <c r="BK437" s="51"/>
      <c r="BL437" s="51"/>
      <c r="BM437" s="51"/>
      <c r="BN437" s="51"/>
      <c r="BO437" s="51"/>
      <c r="BP437" s="51"/>
      <c r="BQ437" s="51"/>
      <c r="BR437" s="51"/>
      <c r="BS437" s="51"/>
      <c r="BT437" s="51"/>
    </row>
    <row r="438" spans="14:80" x14ac:dyDescent="0.25">
      <c r="N438"/>
      <c r="AA438" s="85"/>
      <c r="BK438" s="51"/>
      <c r="BL438" s="51"/>
      <c r="BM438" s="51"/>
      <c r="BN438" s="51"/>
      <c r="BO438" s="51"/>
      <c r="BP438" s="51"/>
      <c r="BQ438" s="51"/>
      <c r="BR438" s="51"/>
      <c r="BS438" s="51"/>
      <c r="BT438" s="51"/>
      <c r="BU438" s="51"/>
      <c r="BV438" s="51"/>
      <c r="BW438" s="51"/>
      <c r="BZ438" s="51"/>
      <c r="CA438" s="51"/>
      <c r="CB438" s="51"/>
    </row>
    <row r="439" spans="14:80" x14ac:dyDescent="0.25">
      <c r="N439"/>
      <c r="AA439" s="85"/>
      <c r="BK439" s="51"/>
      <c r="BL439" s="51"/>
      <c r="BM439" s="51"/>
      <c r="BN439" s="51"/>
      <c r="BO439" s="51"/>
      <c r="BP439" s="51"/>
    </row>
    <row r="440" spans="14:80" x14ac:dyDescent="0.25">
      <c r="N440"/>
      <c r="AA440" s="85"/>
      <c r="BK440" s="51"/>
      <c r="BL440" s="51"/>
      <c r="BM440" s="51"/>
      <c r="BN440" s="51"/>
      <c r="BO440" s="51"/>
      <c r="BP440" s="51"/>
    </row>
    <row r="441" spans="14:80" x14ac:dyDescent="0.25">
      <c r="AA441" s="85"/>
    </row>
    <row r="442" spans="14:80" x14ac:dyDescent="0.25">
      <c r="AA442" s="85"/>
    </row>
    <row r="444" spans="14:80" x14ac:dyDescent="0.25">
      <c r="N444"/>
      <c r="AA444" s="85"/>
      <c r="BK444" s="51"/>
      <c r="BL444" s="51"/>
      <c r="BM444" s="51"/>
      <c r="BN444" s="51"/>
      <c r="BO444" s="51"/>
      <c r="BP444" s="51"/>
      <c r="BQ444" s="51"/>
      <c r="BR444" s="51"/>
      <c r="BS444" s="51"/>
      <c r="BT444" s="51"/>
    </row>
    <row r="445" spans="14:80" x14ac:dyDescent="0.25">
      <c r="N445"/>
      <c r="AA445" s="85"/>
      <c r="BK445" s="51"/>
      <c r="BL445" s="51"/>
      <c r="BM445" s="51"/>
      <c r="BN445" s="51"/>
      <c r="BO445" s="51"/>
      <c r="BP445" s="51"/>
      <c r="BQ445" s="51"/>
      <c r="BR445" s="51"/>
      <c r="BS445" s="51"/>
      <c r="BT445" s="51"/>
      <c r="BU445" s="51"/>
      <c r="BV445" s="51"/>
      <c r="BW445" s="51"/>
      <c r="BZ445" s="51"/>
      <c r="CA445" s="51"/>
      <c r="CB445" s="51"/>
    </row>
    <row r="446" spans="14:80" x14ac:dyDescent="0.25">
      <c r="N446"/>
      <c r="AA446" s="85"/>
      <c r="BK446" s="51"/>
      <c r="BL446" s="51"/>
      <c r="BM446" s="51"/>
      <c r="BN446" s="51"/>
      <c r="BO446" s="51"/>
      <c r="BP446" s="51"/>
    </row>
    <row r="447" spans="14:80" x14ac:dyDescent="0.25">
      <c r="N447"/>
      <c r="AA447" s="85"/>
      <c r="BK447" s="51"/>
      <c r="BL447" s="51"/>
      <c r="BM447" s="51"/>
      <c r="BN447" s="51"/>
      <c r="BO447" s="51"/>
      <c r="BP447" s="51"/>
    </row>
    <row r="448" spans="14:80" x14ac:dyDescent="0.25">
      <c r="AA448" s="85"/>
    </row>
    <row r="449" spans="14:80" x14ac:dyDescent="0.25">
      <c r="AA449" s="85"/>
    </row>
    <row r="451" spans="14:80" x14ac:dyDescent="0.25">
      <c r="N451"/>
      <c r="AA451" s="85"/>
      <c r="BK451" s="51"/>
      <c r="BL451" s="51"/>
      <c r="BM451" s="51"/>
      <c r="BN451" s="51"/>
      <c r="BO451" s="51"/>
      <c r="BP451" s="51"/>
      <c r="BQ451" s="51"/>
      <c r="BR451" s="51"/>
      <c r="BS451" s="51"/>
      <c r="BT451" s="51"/>
    </row>
    <row r="452" spans="14:80" x14ac:dyDescent="0.25">
      <c r="N452"/>
      <c r="AA452" s="85"/>
      <c r="BK452" s="51"/>
      <c r="BL452" s="51"/>
      <c r="BM452" s="51"/>
      <c r="BN452" s="51"/>
      <c r="BO452" s="51"/>
      <c r="BP452" s="51"/>
      <c r="BQ452" s="51"/>
      <c r="BR452" s="51"/>
      <c r="BS452" s="51"/>
      <c r="BT452" s="51"/>
      <c r="BU452" s="51"/>
      <c r="BV452" s="51"/>
      <c r="BW452" s="51"/>
      <c r="BZ452" s="51"/>
      <c r="CA452" s="51"/>
      <c r="CB452" s="51"/>
    </row>
    <row r="453" spans="14:80" x14ac:dyDescent="0.25">
      <c r="N453"/>
      <c r="AA453" s="85"/>
      <c r="BK453" s="51"/>
      <c r="BL453" s="51"/>
      <c r="BM453" s="51"/>
      <c r="BN453" s="51"/>
      <c r="BO453" s="51"/>
      <c r="BP453" s="51"/>
    </row>
    <row r="454" spans="14:80" x14ac:dyDescent="0.25">
      <c r="N454"/>
      <c r="AA454" s="85"/>
      <c r="BK454" s="51"/>
      <c r="BL454" s="51"/>
      <c r="BM454" s="51"/>
      <c r="BN454" s="51"/>
      <c r="BO454" s="51"/>
      <c r="BP454" s="51"/>
    </row>
    <row r="455" spans="14:80" x14ac:dyDescent="0.25">
      <c r="AA455" s="85"/>
    </row>
    <row r="456" spans="14:80" x14ac:dyDescent="0.25">
      <c r="AA456" s="85"/>
    </row>
    <row r="458" spans="14:80" x14ac:dyDescent="0.25">
      <c r="N458"/>
      <c r="AA458" s="85"/>
      <c r="BK458" s="51"/>
      <c r="BL458" s="51"/>
      <c r="BM458" s="51"/>
      <c r="BN458" s="51"/>
      <c r="BO458" s="51"/>
      <c r="BP458" s="51"/>
      <c r="BQ458" s="51"/>
      <c r="BR458" s="51"/>
      <c r="BS458" s="51"/>
      <c r="BT458" s="51"/>
    </row>
    <row r="459" spans="14:80" x14ac:dyDescent="0.25">
      <c r="N459"/>
      <c r="AA459" s="85"/>
      <c r="BK459" s="51"/>
      <c r="BL459" s="51"/>
      <c r="BM459" s="51"/>
      <c r="BN459" s="51"/>
      <c r="BO459" s="51"/>
      <c r="BP459" s="51"/>
      <c r="BQ459" s="51"/>
      <c r="BR459" s="51"/>
      <c r="BS459" s="51"/>
      <c r="BT459" s="51"/>
      <c r="BU459" s="51"/>
      <c r="BV459" s="51"/>
      <c r="BW459" s="51"/>
      <c r="BZ459" s="51"/>
      <c r="CA459" s="51"/>
      <c r="CB459" s="51"/>
    </row>
    <row r="460" spans="14:80" x14ac:dyDescent="0.25">
      <c r="N460"/>
      <c r="AA460" s="85"/>
      <c r="BK460" s="51"/>
      <c r="BL460" s="51"/>
      <c r="BM460" s="51"/>
      <c r="BN460" s="51"/>
      <c r="BO460" s="51"/>
      <c r="BP460" s="51"/>
    </row>
    <row r="461" spans="14:80" x14ac:dyDescent="0.25">
      <c r="N461"/>
      <c r="AA461" s="85"/>
      <c r="BK461" s="51"/>
      <c r="BL461" s="51"/>
      <c r="BM461" s="51"/>
      <c r="BN461" s="51"/>
      <c r="BO461" s="51"/>
      <c r="BP461" s="51"/>
    </row>
    <row r="462" spans="14:80" x14ac:dyDescent="0.25">
      <c r="AA462" s="85"/>
    </row>
    <row r="463" spans="14:80" x14ac:dyDescent="0.25">
      <c r="AA463" s="85"/>
    </row>
    <row r="465" spans="14:80" x14ac:dyDescent="0.25">
      <c r="N465"/>
      <c r="AA465" s="85"/>
      <c r="BK465" s="51"/>
      <c r="BL465" s="51"/>
      <c r="BM465" s="51"/>
      <c r="BN465" s="51"/>
      <c r="BO465" s="51"/>
      <c r="BP465" s="51"/>
      <c r="BQ465" s="51"/>
      <c r="BR465" s="51"/>
      <c r="BS465" s="51"/>
      <c r="BT465" s="51"/>
    </row>
    <row r="466" spans="14:80" x14ac:dyDescent="0.25">
      <c r="N466"/>
      <c r="AA466" s="85"/>
      <c r="BK466" s="51"/>
      <c r="BL466" s="51"/>
      <c r="BM466" s="51"/>
      <c r="BN466" s="51"/>
      <c r="BO466" s="51"/>
      <c r="BP466" s="51"/>
      <c r="BQ466" s="51"/>
      <c r="BR466" s="51"/>
      <c r="BS466" s="51"/>
      <c r="BT466" s="51"/>
      <c r="BU466" s="51"/>
      <c r="BV466" s="51"/>
      <c r="BW466" s="51"/>
      <c r="BZ466" s="51"/>
      <c r="CA466" s="51"/>
      <c r="CB466" s="51"/>
    </row>
    <row r="467" spans="14:80" x14ac:dyDescent="0.25">
      <c r="N467"/>
      <c r="AA467" s="85"/>
      <c r="BK467" s="51"/>
      <c r="BL467" s="51"/>
      <c r="BM467" s="51"/>
      <c r="BN467" s="51"/>
      <c r="BO467" s="51"/>
      <c r="BP467" s="51"/>
    </row>
    <row r="468" spans="14:80" x14ac:dyDescent="0.25">
      <c r="N468"/>
      <c r="AA468" s="85"/>
      <c r="BK468" s="51"/>
      <c r="BL468" s="51"/>
      <c r="BM468" s="51"/>
      <c r="BN468" s="51"/>
      <c r="BO468" s="51"/>
      <c r="BP468" s="51"/>
    </row>
    <row r="469" spans="14:80" x14ac:dyDescent="0.25">
      <c r="AA469" s="85"/>
    </row>
    <row r="470" spans="14:80" x14ac:dyDescent="0.25">
      <c r="AA470" s="85"/>
    </row>
    <row r="471" spans="14:80" x14ac:dyDescent="0.25">
      <c r="AA471" s="85"/>
    </row>
    <row r="472" spans="14:80" x14ac:dyDescent="0.25">
      <c r="N472"/>
      <c r="AA472" s="85"/>
      <c r="BK472" s="51"/>
      <c r="BL472" s="51"/>
      <c r="BM472" s="51"/>
      <c r="BN472" s="51"/>
      <c r="BO472" s="51"/>
      <c r="BP472" s="51"/>
      <c r="BQ472" s="51"/>
      <c r="BR472" s="51"/>
      <c r="BS472" s="51"/>
      <c r="BT472" s="51"/>
    </row>
    <row r="473" spans="14:80" x14ac:dyDescent="0.25">
      <c r="N473"/>
      <c r="AA473" s="85"/>
      <c r="BK473" s="51"/>
      <c r="BL473" s="51"/>
      <c r="BM473" s="51"/>
      <c r="BN473" s="51"/>
      <c r="BO473" s="51"/>
      <c r="BP473" s="51"/>
      <c r="BQ473" s="51"/>
      <c r="BR473" s="51"/>
      <c r="BS473" s="51"/>
      <c r="BT473" s="51"/>
      <c r="BU473" s="51"/>
      <c r="BV473" s="51"/>
      <c r="BW473" s="51"/>
      <c r="BZ473" s="51"/>
      <c r="CA473" s="51"/>
      <c r="CB473" s="51"/>
    </row>
    <row r="474" spans="14:80" x14ac:dyDescent="0.25">
      <c r="N474"/>
      <c r="AA474" s="85"/>
      <c r="BK474" s="51"/>
      <c r="BL474" s="51"/>
      <c r="BM474" s="51"/>
      <c r="BN474" s="51"/>
      <c r="BO474" s="51"/>
      <c r="BP474" s="51"/>
    </row>
    <row r="475" spans="14:80" x14ac:dyDescent="0.25">
      <c r="N475"/>
      <c r="AA475" s="85"/>
      <c r="BK475" s="51"/>
      <c r="BL475" s="51"/>
      <c r="BM475" s="51"/>
      <c r="BN475" s="51"/>
      <c r="BO475" s="51"/>
      <c r="BP475" s="51"/>
    </row>
    <row r="476" spans="14:80" x14ac:dyDescent="0.25">
      <c r="AA476" s="85"/>
    </row>
    <row r="477" spans="14:80" x14ac:dyDescent="0.25">
      <c r="AA477" s="85"/>
    </row>
    <row r="479" spans="14:80" x14ac:dyDescent="0.25">
      <c r="N479"/>
      <c r="AA479" s="85"/>
      <c r="BK479" s="51"/>
      <c r="BL479" s="51"/>
      <c r="BM479" s="51"/>
      <c r="BN479" s="51"/>
      <c r="BO479" s="51"/>
      <c r="BP479" s="51"/>
      <c r="BQ479" s="51"/>
      <c r="BR479" s="51"/>
      <c r="BS479" s="51"/>
      <c r="BT479" s="51"/>
    </row>
    <row r="480" spans="14:80" x14ac:dyDescent="0.25">
      <c r="N480"/>
      <c r="AA480" s="85"/>
      <c r="BK480" s="51"/>
      <c r="BL480" s="51"/>
      <c r="BM480" s="51"/>
      <c r="BN480" s="51"/>
      <c r="BO480" s="51"/>
      <c r="BP480" s="51"/>
      <c r="BQ480" s="51"/>
      <c r="BR480" s="51"/>
      <c r="BS480" s="51"/>
      <c r="BT480" s="51"/>
      <c r="BU480" s="51"/>
      <c r="BV480" s="51"/>
      <c r="BW480" s="51"/>
      <c r="BZ480" s="51"/>
      <c r="CA480" s="51"/>
      <c r="CB480" s="51"/>
    </row>
    <row r="481" spans="14:80" x14ac:dyDescent="0.25">
      <c r="N481"/>
      <c r="AA481" s="85"/>
      <c r="BK481" s="51"/>
      <c r="BL481" s="51"/>
      <c r="BM481" s="51"/>
      <c r="BN481" s="51"/>
      <c r="BO481" s="51"/>
      <c r="BP481" s="51"/>
    </row>
    <row r="482" spans="14:80" x14ac:dyDescent="0.25">
      <c r="N482"/>
      <c r="AA482" s="85"/>
      <c r="BK482" s="51"/>
      <c r="BL482" s="51"/>
      <c r="BM482" s="51"/>
      <c r="BN482" s="51"/>
      <c r="BO482" s="51"/>
      <c r="BP482" s="51"/>
    </row>
    <row r="483" spans="14:80" x14ac:dyDescent="0.25">
      <c r="AA483" s="85"/>
    </row>
    <row r="484" spans="14:80" x14ac:dyDescent="0.25">
      <c r="AA484" s="85"/>
    </row>
    <row r="486" spans="14:80" x14ac:dyDescent="0.25">
      <c r="N486"/>
      <c r="AA486" s="85"/>
      <c r="BK486" s="51"/>
      <c r="BL486" s="51"/>
      <c r="BM486" s="51"/>
      <c r="BN486" s="51"/>
      <c r="BO486" s="51"/>
      <c r="BP486" s="51"/>
      <c r="BQ486" s="51"/>
      <c r="BR486" s="51"/>
      <c r="BS486" s="51"/>
      <c r="BT486" s="51"/>
    </row>
    <row r="487" spans="14:80" x14ac:dyDescent="0.25">
      <c r="N487"/>
      <c r="AA487" s="85"/>
      <c r="BK487" s="51"/>
      <c r="BL487" s="51"/>
      <c r="BM487" s="51"/>
      <c r="BN487" s="51"/>
      <c r="BO487" s="51"/>
      <c r="BP487" s="51"/>
      <c r="BQ487" s="51"/>
      <c r="BR487" s="51"/>
      <c r="BS487" s="51"/>
      <c r="BT487" s="51"/>
      <c r="BU487" s="51"/>
      <c r="BV487" s="51"/>
      <c r="BW487" s="51"/>
      <c r="BZ487" s="51"/>
      <c r="CA487" s="51"/>
      <c r="CB487" s="51"/>
    </row>
    <row r="488" spans="14:80" x14ac:dyDescent="0.25">
      <c r="N488"/>
      <c r="AA488" s="85"/>
      <c r="BK488" s="51"/>
      <c r="BL488" s="51"/>
      <c r="BM488" s="51"/>
      <c r="BN488" s="51"/>
      <c r="BO488" s="51"/>
      <c r="BP488" s="51"/>
    </row>
    <row r="489" spans="14:80" x14ac:dyDescent="0.25">
      <c r="N489"/>
      <c r="AA489" s="85"/>
      <c r="BK489" s="51"/>
      <c r="BL489" s="51"/>
      <c r="BM489" s="51"/>
      <c r="BN489" s="51"/>
      <c r="BO489" s="51"/>
      <c r="BP489" s="51"/>
    </row>
    <row r="490" spans="14:80" x14ac:dyDescent="0.25">
      <c r="AA490" s="85"/>
    </row>
    <row r="491" spans="14:80" x14ac:dyDescent="0.25">
      <c r="AA491" s="85"/>
    </row>
    <row r="493" spans="14:80" x14ac:dyDescent="0.25">
      <c r="N493"/>
      <c r="AA493" s="85"/>
      <c r="BK493" s="51"/>
      <c r="BL493" s="51"/>
      <c r="BM493" s="51"/>
      <c r="BN493" s="51"/>
      <c r="BO493" s="51"/>
      <c r="BP493" s="51"/>
      <c r="BQ493" s="51"/>
      <c r="BR493" s="51"/>
      <c r="BS493" s="51"/>
      <c r="BT493" s="51"/>
    </row>
    <row r="494" spans="14:80" x14ac:dyDescent="0.25">
      <c r="N494"/>
      <c r="AA494" s="85"/>
      <c r="BK494" s="51"/>
      <c r="BL494" s="51"/>
      <c r="BM494" s="51"/>
      <c r="BN494" s="51"/>
      <c r="BO494" s="51"/>
      <c r="BP494" s="51"/>
      <c r="BQ494" s="51"/>
      <c r="BR494" s="51"/>
      <c r="BS494" s="51"/>
      <c r="BT494" s="51"/>
      <c r="BU494" s="51"/>
      <c r="BV494" s="51"/>
      <c r="BW494" s="51"/>
      <c r="BZ494" s="51"/>
      <c r="CA494" s="51"/>
      <c r="CB494" s="51"/>
    </row>
    <row r="495" spans="14:80" x14ac:dyDescent="0.25">
      <c r="N495"/>
      <c r="AA495" s="85"/>
      <c r="BK495" s="51"/>
      <c r="BL495" s="51"/>
      <c r="BM495" s="51"/>
      <c r="BN495" s="51"/>
      <c r="BO495" s="51"/>
      <c r="BP495" s="51"/>
    </row>
    <row r="496" spans="14:80" x14ac:dyDescent="0.25">
      <c r="N496"/>
      <c r="AA496" s="85"/>
      <c r="BK496" s="51"/>
      <c r="BL496" s="51"/>
      <c r="BM496" s="51"/>
      <c r="BN496" s="51"/>
      <c r="BO496" s="51"/>
      <c r="BP496" s="51"/>
    </row>
    <row r="497" spans="14:80" x14ac:dyDescent="0.25">
      <c r="AA497" s="85"/>
    </row>
    <row r="498" spans="14:80" x14ac:dyDescent="0.25">
      <c r="AA498" s="85"/>
    </row>
    <row r="500" spans="14:80" x14ac:dyDescent="0.25">
      <c r="N500"/>
      <c r="AA500" s="85"/>
      <c r="BK500" s="51"/>
      <c r="BL500" s="51"/>
      <c r="BM500" s="51"/>
      <c r="BN500" s="51"/>
      <c r="BO500" s="51"/>
      <c r="BP500" s="51"/>
      <c r="BQ500" s="51"/>
      <c r="BR500" s="51"/>
      <c r="BS500" s="51"/>
      <c r="BT500" s="51"/>
    </row>
    <row r="501" spans="14:80" x14ac:dyDescent="0.25">
      <c r="N501"/>
      <c r="AA501" s="85"/>
      <c r="BK501" s="51"/>
      <c r="BL501" s="51"/>
      <c r="BM501" s="51"/>
      <c r="BN501" s="51"/>
      <c r="BO501" s="51"/>
      <c r="BP501" s="51"/>
      <c r="BQ501" s="51"/>
      <c r="BR501" s="51"/>
      <c r="BS501" s="51"/>
      <c r="BT501" s="51"/>
      <c r="BU501" s="51"/>
      <c r="BV501" s="51"/>
      <c r="BW501" s="51"/>
      <c r="BZ501" s="51"/>
      <c r="CA501" s="51"/>
      <c r="CB501" s="51"/>
    </row>
    <row r="502" spans="14:80" x14ac:dyDescent="0.25">
      <c r="N502"/>
      <c r="AA502" s="85"/>
      <c r="BK502" s="51"/>
      <c r="BL502" s="51"/>
      <c r="BM502" s="51"/>
      <c r="BN502" s="51"/>
      <c r="BO502" s="51"/>
      <c r="BP502" s="51"/>
    </row>
    <row r="503" spans="14:80" x14ac:dyDescent="0.25">
      <c r="N503"/>
      <c r="AA503" s="85"/>
      <c r="BK503" s="51"/>
      <c r="BL503" s="51"/>
      <c r="BM503" s="51"/>
      <c r="BN503" s="51"/>
      <c r="BO503" s="51"/>
      <c r="BP503" s="51"/>
    </row>
    <row r="504" spans="14:80" x14ac:dyDescent="0.25">
      <c r="AA504" s="85"/>
    </row>
    <row r="505" spans="14:80" x14ac:dyDescent="0.25">
      <c r="AA505" s="85"/>
    </row>
    <row r="506" spans="14:80" x14ac:dyDescent="0.25">
      <c r="AA506" s="85"/>
    </row>
    <row r="507" spans="14:80" x14ac:dyDescent="0.25">
      <c r="N507"/>
      <c r="AA507" s="85"/>
      <c r="BK507" s="51"/>
      <c r="BL507" s="51"/>
      <c r="BM507" s="51"/>
      <c r="BN507" s="51"/>
      <c r="BO507" s="51"/>
      <c r="BP507" s="51"/>
      <c r="BQ507" s="51"/>
      <c r="BR507" s="51"/>
      <c r="BS507" s="51"/>
      <c r="BT507" s="51"/>
    </row>
    <row r="508" spans="14:80" x14ac:dyDescent="0.25">
      <c r="N508"/>
      <c r="AA508" s="85"/>
      <c r="BK508" s="51"/>
      <c r="BL508" s="51"/>
      <c r="BM508" s="51"/>
      <c r="BN508" s="51"/>
      <c r="BO508" s="51"/>
      <c r="BP508" s="51"/>
      <c r="BQ508" s="51"/>
      <c r="BR508" s="51"/>
      <c r="BS508" s="51"/>
      <c r="BT508" s="51"/>
      <c r="BU508" s="51"/>
      <c r="BV508" s="51"/>
      <c r="BW508" s="51"/>
      <c r="BZ508" s="51"/>
      <c r="CA508" s="51"/>
      <c r="CB508" s="51"/>
    </row>
    <row r="509" spans="14:80" x14ac:dyDescent="0.25">
      <c r="N509"/>
      <c r="AA509" s="85"/>
      <c r="BK509" s="51"/>
      <c r="BL509" s="51"/>
      <c r="BM509" s="51"/>
      <c r="BN509" s="51"/>
      <c r="BO509" s="51"/>
      <c r="BP509" s="51"/>
    </row>
    <row r="510" spans="14:80" x14ac:dyDescent="0.25">
      <c r="N510"/>
      <c r="AA510" s="85"/>
      <c r="BK510" s="51"/>
      <c r="BL510" s="51"/>
      <c r="BM510" s="51"/>
      <c r="BN510" s="51"/>
      <c r="BO510" s="51"/>
      <c r="BP510" s="51"/>
    </row>
    <row r="511" spans="14:80" x14ac:dyDescent="0.25">
      <c r="AA511" s="85"/>
    </row>
    <row r="512" spans="14:80" x14ac:dyDescent="0.25">
      <c r="AA512" s="85"/>
    </row>
    <row r="514" spans="14:80" x14ac:dyDescent="0.25">
      <c r="N514"/>
      <c r="AA514" s="85"/>
      <c r="BK514" s="51"/>
      <c r="BL514" s="51"/>
      <c r="BM514" s="51"/>
      <c r="BN514" s="51"/>
      <c r="BO514" s="51"/>
      <c r="BP514" s="51"/>
      <c r="BQ514" s="51"/>
      <c r="BR514" s="51"/>
      <c r="BS514" s="51"/>
      <c r="BT514" s="51"/>
    </row>
    <row r="515" spans="14:80" x14ac:dyDescent="0.25">
      <c r="N515"/>
      <c r="AA515" s="85"/>
      <c r="BK515" s="51"/>
      <c r="BL515" s="51"/>
      <c r="BM515" s="51"/>
      <c r="BN515" s="51"/>
      <c r="BO515" s="51"/>
      <c r="BP515" s="51"/>
      <c r="BQ515" s="51"/>
      <c r="BR515" s="51"/>
      <c r="BS515" s="51"/>
      <c r="BT515" s="51"/>
      <c r="BU515" s="51"/>
      <c r="BV515" s="51"/>
      <c r="BW515" s="51"/>
      <c r="BZ515" s="51"/>
      <c r="CA515" s="51"/>
      <c r="CB515" s="51"/>
    </row>
    <row r="516" spans="14:80" x14ac:dyDescent="0.25">
      <c r="N516"/>
      <c r="AA516" s="85"/>
      <c r="BK516" s="51"/>
      <c r="BL516" s="51"/>
      <c r="BM516" s="51"/>
      <c r="BN516" s="51"/>
      <c r="BO516" s="51"/>
      <c r="BP516" s="51"/>
    </row>
    <row r="517" spans="14:80" x14ac:dyDescent="0.25">
      <c r="N517"/>
      <c r="AA517" s="85"/>
      <c r="BK517" s="51"/>
      <c r="BL517" s="51"/>
      <c r="BM517" s="51"/>
      <c r="BN517" s="51"/>
      <c r="BO517" s="51"/>
      <c r="BP517" s="51"/>
    </row>
    <row r="518" spans="14:80" x14ac:dyDescent="0.25">
      <c r="AA518" s="85"/>
    </row>
    <row r="519" spans="14:80" x14ac:dyDescent="0.25">
      <c r="AA519" s="85"/>
    </row>
    <row r="521" spans="14:80" x14ac:dyDescent="0.25">
      <c r="N521"/>
      <c r="AA521" s="85"/>
      <c r="BK521" s="51"/>
      <c r="BL521" s="51"/>
      <c r="BM521" s="51"/>
      <c r="BN521" s="51"/>
      <c r="BO521" s="51"/>
      <c r="BP521" s="51"/>
      <c r="BQ521" s="51"/>
      <c r="BR521" s="51"/>
      <c r="BS521" s="51"/>
      <c r="BT521" s="51"/>
    </row>
    <row r="522" spans="14:80" x14ac:dyDescent="0.25">
      <c r="N522"/>
      <c r="AA522" s="85"/>
      <c r="BK522" s="51"/>
      <c r="BL522" s="51"/>
      <c r="BM522" s="51"/>
      <c r="BN522" s="51"/>
      <c r="BO522" s="51"/>
      <c r="BP522" s="51"/>
      <c r="BQ522" s="51"/>
      <c r="BR522" s="51"/>
      <c r="BS522" s="51"/>
      <c r="BT522" s="51"/>
      <c r="BU522" s="51"/>
      <c r="BV522" s="51"/>
      <c r="BW522" s="51"/>
      <c r="BZ522" s="51"/>
      <c r="CA522" s="51"/>
      <c r="CB522" s="51"/>
    </row>
    <row r="523" spans="14:80" x14ac:dyDescent="0.25">
      <c r="N523"/>
      <c r="AA523" s="85"/>
      <c r="BK523" s="51"/>
      <c r="BL523" s="51"/>
      <c r="BM523" s="51"/>
      <c r="BN523" s="51"/>
      <c r="BO523" s="51"/>
      <c r="BP523" s="51"/>
    </row>
    <row r="524" spans="14:80" x14ac:dyDescent="0.25">
      <c r="N524"/>
      <c r="AA524" s="85"/>
      <c r="BK524" s="51"/>
      <c r="BL524" s="51"/>
      <c r="BM524" s="51"/>
      <c r="BN524" s="51"/>
      <c r="BO524" s="51"/>
      <c r="BP524" s="51"/>
    </row>
    <row r="525" spans="14:80" x14ac:dyDescent="0.25">
      <c r="AA525" s="85"/>
    </row>
    <row r="526" spans="14:80" x14ac:dyDescent="0.25">
      <c r="AA526" s="85"/>
    </row>
    <row r="528" spans="14:80" x14ac:dyDescent="0.25">
      <c r="N528"/>
      <c r="AA528" s="85"/>
      <c r="BK528" s="51"/>
      <c r="BL528" s="51"/>
      <c r="BM528" s="51"/>
      <c r="BN528" s="51"/>
      <c r="BO528" s="51"/>
      <c r="BP528" s="51"/>
      <c r="BQ528" s="51"/>
      <c r="BR528" s="51"/>
      <c r="BS528" s="51"/>
      <c r="BT528" s="51"/>
    </row>
    <row r="529" spans="14:80" x14ac:dyDescent="0.25">
      <c r="N529"/>
      <c r="AA529" s="85"/>
      <c r="BK529" s="51"/>
      <c r="BL529" s="51"/>
      <c r="BM529" s="51"/>
      <c r="BN529" s="51"/>
      <c r="BO529" s="51"/>
      <c r="BP529" s="51"/>
      <c r="BQ529" s="51"/>
      <c r="BR529" s="51"/>
      <c r="BS529" s="51"/>
      <c r="BT529" s="51"/>
      <c r="BU529" s="51"/>
      <c r="BV529" s="51"/>
      <c r="BW529" s="51"/>
      <c r="BZ529" s="51"/>
      <c r="CA529" s="51"/>
      <c r="CB529" s="51"/>
    </row>
    <row r="530" spans="14:80" x14ac:dyDescent="0.25">
      <c r="N530"/>
      <c r="AA530" s="85"/>
      <c r="BK530" s="51"/>
      <c r="BL530" s="51"/>
      <c r="BM530" s="51"/>
      <c r="BN530" s="51"/>
      <c r="BO530" s="51"/>
      <c r="BP530" s="51"/>
    </row>
    <row r="531" spans="14:80" x14ac:dyDescent="0.25">
      <c r="N531"/>
      <c r="AA531" s="85"/>
      <c r="BK531" s="51"/>
      <c r="BL531" s="51"/>
      <c r="BM531" s="51"/>
      <c r="BN531" s="51"/>
      <c r="BO531" s="51"/>
      <c r="BP531" s="51"/>
    </row>
    <row r="532" spans="14:80" x14ac:dyDescent="0.25">
      <c r="AA532" s="85"/>
    </row>
    <row r="533" spans="14:80" x14ac:dyDescent="0.25">
      <c r="AA533" s="85"/>
    </row>
    <row r="535" spans="14:80" x14ac:dyDescent="0.25">
      <c r="N535"/>
      <c r="AA535" s="85"/>
      <c r="BK535" s="51"/>
      <c r="BL535" s="51"/>
      <c r="BM535" s="51"/>
      <c r="BN535" s="51"/>
      <c r="BO535" s="51"/>
      <c r="BP535" s="51"/>
      <c r="BQ535" s="51"/>
      <c r="BR535" s="51"/>
      <c r="BS535" s="51"/>
      <c r="BT535" s="51"/>
    </row>
    <row r="536" spans="14:80" x14ac:dyDescent="0.25">
      <c r="N536"/>
      <c r="AA536" s="85"/>
      <c r="BK536" s="51"/>
      <c r="BL536" s="51"/>
      <c r="BM536" s="51"/>
      <c r="BN536" s="51"/>
      <c r="BO536" s="51"/>
      <c r="BP536" s="51"/>
      <c r="BQ536" s="51"/>
      <c r="BR536" s="51"/>
      <c r="BS536" s="51"/>
      <c r="BT536" s="51"/>
      <c r="BU536" s="51"/>
      <c r="BV536" s="51"/>
      <c r="BW536" s="51"/>
      <c r="BZ536" s="51"/>
      <c r="CA536" s="51"/>
      <c r="CB536" s="51"/>
    </row>
    <row r="537" spans="14:80" x14ac:dyDescent="0.25">
      <c r="N537"/>
      <c r="AA537" s="85"/>
      <c r="BK537" s="51"/>
      <c r="BL537" s="51"/>
      <c r="BM537" s="51"/>
      <c r="BN537" s="51"/>
      <c r="BO537" s="51"/>
      <c r="BP537" s="51"/>
    </row>
    <row r="538" spans="14:80" x14ac:dyDescent="0.25">
      <c r="N538"/>
      <c r="AA538" s="85"/>
      <c r="BK538" s="51"/>
      <c r="BL538" s="51"/>
      <c r="BM538" s="51"/>
      <c r="BN538" s="51"/>
      <c r="BO538" s="51"/>
      <c r="BP538" s="51"/>
    </row>
    <row r="539" spans="14:80" x14ac:dyDescent="0.25">
      <c r="AA539" s="85"/>
    </row>
    <row r="540" spans="14:80" x14ac:dyDescent="0.25">
      <c r="AA540" s="85"/>
    </row>
    <row r="541" spans="14:80" x14ac:dyDescent="0.25">
      <c r="AA541" s="85"/>
    </row>
    <row r="542" spans="14:80" x14ac:dyDescent="0.25">
      <c r="N542"/>
      <c r="AA542" s="85"/>
      <c r="BK542" s="51"/>
      <c r="BL542" s="51"/>
      <c r="BM542" s="51"/>
      <c r="BN542" s="51"/>
      <c r="BO542" s="51"/>
      <c r="BP542" s="51"/>
      <c r="BQ542" s="51"/>
      <c r="BR542" s="51"/>
      <c r="BS542" s="51"/>
      <c r="BT542" s="51"/>
    </row>
    <row r="543" spans="14:80" x14ac:dyDescent="0.25">
      <c r="N543"/>
      <c r="AA543" s="85"/>
      <c r="BK543" s="51"/>
      <c r="BL543" s="51"/>
      <c r="BM543" s="51"/>
      <c r="BN543" s="51"/>
      <c r="BO543" s="51"/>
      <c r="BP543" s="51"/>
      <c r="BQ543" s="51"/>
      <c r="BR543" s="51"/>
      <c r="BS543" s="51"/>
      <c r="BT543" s="51"/>
      <c r="BU543" s="51"/>
      <c r="BV543" s="51"/>
      <c r="BW543" s="51"/>
      <c r="BZ543" s="51"/>
      <c r="CA543" s="51"/>
      <c r="CB543" s="51"/>
    </row>
    <row r="544" spans="14:80" x14ac:dyDescent="0.25">
      <c r="N544"/>
      <c r="AA544" s="85"/>
      <c r="BK544" s="51"/>
      <c r="BL544" s="51"/>
      <c r="BM544" s="51"/>
      <c r="BN544" s="51"/>
      <c r="BO544" s="51"/>
      <c r="BP544" s="51"/>
    </row>
    <row r="545" spans="14:80" x14ac:dyDescent="0.25">
      <c r="N545"/>
      <c r="AA545" s="85"/>
      <c r="BK545" s="51"/>
      <c r="BL545" s="51"/>
      <c r="BM545" s="51"/>
      <c r="BN545" s="51"/>
      <c r="BO545" s="51"/>
      <c r="BP545" s="51"/>
    </row>
    <row r="546" spans="14:80" x14ac:dyDescent="0.25">
      <c r="AA546" s="85"/>
    </row>
    <row r="547" spans="14:80" x14ac:dyDescent="0.25">
      <c r="AA547" s="85"/>
    </row>
    <row r="549" spans="14:80" x14ac:dyDescent="0.25">
      <c r="N549"/>
      <c r="AA549" s="85"/>
      <c r="BK549" s="51"/>
      <c r="BL549" s="51"/>
      <c r="BM549" s="51"/>
      <c r="BN549" s="51"/>
      <c r="BO549" s="51"/>
      <c r="BP549" s="51"/>
      <c r="BQ549" s="51"/>
      <c r="BR549" s="51"/>
      <c r="BS549" s="51"/>
      <c r="BT549" s="51"/>
    </row>
    <row r="550" spans="14:80" x14ac:dyDescent="0.25">
      <c r="N550"/>
      <c r="AA550" s="85"/>
      <c r="BK550" s="51"/>
      <c r="BL550" s="51"/>
      <c r="BM550" s="51"/>
      <c r="BN550" s="51"/>
      <c r="BO550" s="51"/>
      <c r="BP550" s="51"/>
      <c r="BQ550" s="51"/>
      <c r="BR550" s="51"/>
      <c r="BS550" s="51"/>
      <c r="BT550" s="51"/>
      <c r="BU550" s="51"/>
      <c r="BV550" s="51"/>
      <c r="BW550" s="51"/>
      <c r="BZ550" s="51"/>
      <c r="CA550" s="51"/>
      <c r="CB550" s="51"/>
    </row>
    <row r="551" spans="14:80" x14ac:dyDescent="0.25">
      <c r="N551"/>
      <c r="AA551" s="85"/>
      <c r="BK551" s="51"/>
      <c r="BL551" s="51"/>
      <c r="BM551" s="51"/>
      <c r="BN551" s="51"/>
      <c r="BO551" s="51"/>
      <c r="BP551" s="51"/>
    </row>
    <row r="552" spans="14:80" x14ac:dyDescent="0.25">
      <c r="N552"/>
      <c r="AA552" s="85"/>
      <c r="BK552" s="51"/>
      <c r="BL552" s="51"/>
      <c r="BM552" s="51"/>
      <c r="BN552" s="51"/>
      <c r="BO552" s="51"/>
      <c r="BP552" s="51"/>
    </row>
    <row r="553" spans="14:80" x14ac:dyDescent="0.25">
      <c r="AA553" s="85"/>
    </row>
    <row r="554" spans="14:80" x14ac:dyDescent="0.25">
      <c r="AA554" s="85"/>
    </row>
    <row r="556" spans="14:80" x14ac:dyDescent="0.25">
      <c r="N556"/>
      <c r="AA556" s="85"/>
      <c r="BK556" s="51"/>
      <c r="BL556" s="51"/>
      <c r="BM556" s="51"/>
      <c r="BN556" s="51"/>
      <c r="BO556" s="51"/>
      <c r="BP556" s="51"/>
      <c r="BQ556" s="51"/>
      <c r="BR556" s="51"/>
      <c r="BS556" s="51"/>
      <c r="BT556" s="51"/>
    </row>
    <row r="557" spans="14:80" x14ac:dyDescent="0.25">
      <c r="N557"/>
      <c r="AA557" s="85"/>
      <c r="BK557" s="51"/>
      <c r="BL557" s="51"/>
      <c r="BM557" s="51"/>
      <c r="BN557" s="51"/>
      <c r="BO557" s="51"/>
      <c r="BP557" s="51"/>
      <c r="BQ557" s="51"/>
      <c r="BR557" s="51"/>
      <c r="BS557" s="51"/>
      <c r="BT557" s="51"/>
      <c r="BU557" s="51"/>
      <c r="BV557" s="51"/>
      <c r="BW557" s="51"/>
      <c r="BZ557" s="51"/>
      <c r="CA557" s="51"/>
      <c r="CB557" s="51"/>
    </row>
    <row r="558" spans="14:80" x14ac:dyDescent="0.25">
      <c r="N558"/>
      <c r="AA558" s="85"/>
      <c r="BK558" s="51"/>
      <c r="BL558" s="51"/>
      <c r="BM558" s="51"/>
      <c r="BN558" s="51"/>
      <c r="BO558" s="51"/>
      <c r="BP558" s="51"/>
    </row>
    <row r="559" spans="14:80" x14ac:dyDescent="0.25">
      <c r="N559"/>
      <c r="AA559" s="85"/>
      <c r="BK559" s="51"/>
      <c r="BL559" s="51"/>
      <c r="BM559" s="51"/>
      <c r="BN559" s="51"/>
      <c r="BO559" s="51"/>
      <c r="BP559" s="51"/>
    </row>
    <row r="560" spans="14:80" x14ac:dyDescent="0.25">
      <c r="AA560" s="85"/>
    </row>
    <row r="561" spans="14:80" x14ac:dyDescent="0.25">
      <c r="AA561" s="85"/>
    </row>
    <row r="563" spans="14:80" x14ac:dyDescent="0.25">
      <c r="N563"/>
      <c r="AA563" s="85"/>
      <c r="BK563" s="51"/>
      <c r="BL563" s="51"/>
      <c r="BM563" s="51"/>
      <c r="BN563" s="51"/>
      <c r="BO563" s="51"/>
      <c r="BP563" s="51"/>
      <c r="BQ563" s="51"/>
      <c r="BR563" s="51"/>
      <c r="BS563" s="51"/>
      <c r="BT563" s="51"/>
    </row>
    <row r="564" spans="14:80" x14ac:dyDescent="0.25">
      <c r="N564"/>
      <c r="AA564" s="85"/>
      <c r="BK564" s="51"/>
      <c r="BL564" s="51"/>
      <c r="BM564" s="51"/>
      <c r="BN564" s="51"/>
      <c r="BO564" s="51"/>
      <c r="BP564" s="51"/>
      <c r="BQ564" s="51"/>
      <c r="BR564" s="51"/>
      <c r="BS564" s="51"/>
      <c r="BT564" s="51"/>
      <c r="BU564" s="51"/>
      <c r="BV564" s="51"/>
      <c r="BW564" s="51"/>
      <c r="BZ564" s="51"/>
      <c r="CA564" s="51"/>
      <c r="CB564" s="51"/>
    </row>
    <row r="565" spans="14:80" x14ac:dyDescent="0.25">
      <c r="N565"/>
      <c r="AA565" s="85"/>
      <c r="BK565" s="51"/>
      <c r="BL565" s="51"/>
      <c r="BM565" s="51"/>
      <c r="BN565" s="51"/>
      <c r="BO565" s="51"/>
      <c r="BP565" s="51"/>
    </row>
    <row r="566" spans="14:80" x14ac:dyDescent="0.25">
      <c r="N566"/>
      <c r="AA566" s="85"/>
      <c r="BK566" s="51"/>
      <c r="BL566" s="51"/>
      <c r="BM566" s="51"/>
      <c r="BN566" s="51"/>
      <c r="BO566" s="51"/>
      <c r="BP566" s="51"/>
    </row>
    <row r="567" spans="14:80" x14ac:dyDescent="0.25">
      <c r="AA567" s="85"/>
    </row>
    <row r="568" spans="14:80" x14ac:dyDescent="0.25">
      <c r="AA568" s="85"/>
    </row>
    <row r="570" spans="14:80" x14ac:dyDescent="0.25">
      <c r="N570"/>
      <c r="AA570" s="85"/>
      <c r="BK570" s="51"/>
      <c r="BL570" s="51"/>
      <c r="BM570" s="51"/>
      <c r="BN570" s="51"/>
      <c r="BO570" s="51"/>
      <c r="BP570" s="51"/>
      <c r="BQ570" s="51"/>
      <c r="BR570" s="51"/>
      <c r="BS570" s="51"/>
      <c r="BT570" s="51"/>
    </row>
    <row r="571" spans="14:80" x14ac:dyDescent="0.25">
      <c r="N571"/>
      <c r="AA571" s="85"/>
      <c r="BK571" s="51"/>
      <c r="BL571" s="51"/>
      <c r="BM571" s="51"/>
      <c r="BN571" s="51"/>
      <c r="BO571" s="51"/>
      <c r="BP571" s="51"/>
      <c r="BQ571" s="51"/>
      <c r="BR571" s="51"/>
      <c r="BS571" s="51"/>
      <c r="BT571" s="51"/>
      <c r="BU571" s="51"/>
      <c r="BV571" s="51"/>
      <c r="BW571" s="51"/>
      <c r="BZ571" s="51"/>
      <c r="CA571" s="51"/>
      <c r="CB571" s="51"/>
    </row>
    <row r="572" spans="14:80" x14ac:dyDescent="0.25">
      <c r="N572"/>
      <c r="AA572" s="85"/>
      <c r="BK572" s="51"/>
      <c r="BL572" s="51"/>
      <c r="BM572" s="51"/>
      <c r="BN572" s="51"/>
      <c r="BO572" s="51"/>
      <c r="BP572" s="51"/>
    </row>
    <row r="573" spans="14:80" x14ac:dyDescent="0.25">
      <c r="N573"/>
      <c r="AA573" s="85"/>
      <c r="BK573" s="51"/>
      <c r="BL573" s="51"/>
      <c r="BM573" s="51"/>
      <c r="BN573" s="51"/>
      <c r="BO573" s="51"/>
      <c r="BP573" s="51"/>
    </row>
    <row r="574" spans="14:80" x14ac:dyDescent="0.25">
      <c r="AA574" s="85"/>
    </row>
    <row r="575" spans="14:80" x14ac:dyDescent="0.25">
      <c r="AA575" s="85"/>
    </row>
    <row r="577" spans="14:80" x14ac:dyDescent="0.25">
      <c r="N577"/>
      <c r="AA577" s="85"/>
      <c r="BK577" s="51"/>
      <c r="BL577" s="51"/>
      <c r="BM577" s="51"/>
      <c r="BN577" s="51"/>
      <c r="BO577" s="51"/>
      <c r="BP577" s="51"/>
      <c r="BQ577" s="51"/>
      <c r="BR577" s="51"/>
      <c r="BS577" s="51"/>
      <c r="BT577" s="51"/>
    </row>
    <row r="578" spans="14:80" x14ac:dyDescent="0.25">
      <c r="N578"/>
      <c r="AA578" s="85"/>
      <c r="BK578" s="51"/>
      <c r="BL578" s="51"/>
      <c r="BM578" s="51"/>
      <c r="BN578" s="51"/>
      <c r="BO578" s="51"/>
      <c r="BP578" s="51"/>
      <c r="BQ578" s="51"/>
      <c r="BR578" s="51"/>
      <c r="BS578" s="51"/>
      <c r="BT578" s="51"/>
      <c r="BU578" s="51"/>
      <c r="BV578" s="51"/>
      <c r="BW578" s="51"/>
      <c r="BZ578" s="51"/>
      <c r="CA578" s="51"/>
      <c r="CB578" s="51"/>
    </row>
    <row r="579" spans="14:80" x14ac:dyDescent="0.25">
      <c r="N579"/>
      <c r="AA579" s="85"/>
      <c r="BK579" s="51"/>
      <c r="BL579" s="51"/>
      <c r="BM579" s="51"/>
      <c r="BN579" s="51"/>
      <c r="BO579" s="51"/>
      <c r="BP579" s="51"/>
    </row>
    <row r="580" spans="14:80" x14ac:dyDescent="0.25">
      <c r="N580"/>
      <c r="AA580" s="85"/>
      <c r="BK580" s="51"/>
      <c r="BL580" s="51"/>
      <c r="BM580" s="51"/>
      <c r="BN580" s="51"/>
      <c r="BO580" s="51"/>
      <c r="BP580" s="51"/>
    </row>
    <row r="581" spans="14:80" x14ac:dyDescent="0.25">
      <c r="AA581" s="85"/>
    </row>
    <row r="582" spans="14:80" x14ac:dyDescent="0.25">
      <c r="AA582" s="85"/>
    </row>
    <row r="584" spans="14:80" x14ac:dyDescent="0.25">
      <c r="N584"/>
      <c r="AA584" s="85"/>
      <c r="BK584" s="51"/>
      <c r="BL584" s="51"/>
      <c r="BM584" s="51"/>
      <c r="BN584" s="51"/>
      <c r="BO584" s="51"/>
      <c r="BP584" s="51"/>
      <c r="BQ584" s="51"/>
      <c r="BR584" s="51"/>
      <c r="BS584" s="51"/>
      <c r="BT584" s="51"/>
    </row>
    <row r="585" spans="14:80" x14ac:dyDescent="0.25">
      <c r="N585"/>
      <c r="AA585" s="85"/>
      <c r="BK585" s="51"/>
      <c r="BL585" s="51"/>
      <c r="BM585" s="51"/>
      <c r="BN585" s="51"/>
      <c r="BO585" s="51"/>
      <c r="BP585" s="51"/>
      <c r="BQ585" s="51"/>
      <c r="BR585" s="51"/>
      <c r="BS585" s="51"/>
      <c r="BT585" s="51"/>
      <c r="BU585" s="51"/>
      <c r="BV585" s="51"/>
      <c r="BW585" s="51"/>
      <c r="BZ585" s="51"/>
      <c r="CA585" s="51"/>
      <c r="CB585" s="51"/>
    </row>
    <row r="586" spans="14:80" x14ac:dyDescent="0.25">
      <c r="N586"/>
      <c r="AA586" s="85"/>
      <c r="BK586" s="51"/>
      <c r="BL586" s="51"/>
      <c r="BM586" s="51"/>
      <c r="BN586" s="51"/>
      <c r="BO586" s="51"/>
      <c r="BP586" s="51"/>
    </row>
    <row r="587" spans="14:80" x14ac:dyDescent="0.25">
      <c r="N587"/>
      <c r="AA587" s="85"/>
      <c r="BK587" s="51"/>
      <c r="BL587" s="51"/>
      <c r="BM587" s="51"/>
      <c r="BN587" s="51"/>
      <c r="BO587" s="51"/>
      <c r="BP587" s="51"/>
    </row>
    <row r="588" spans="14:80" x14ac:dyDescent="0.25">
      <c r="AA588" s="85"/>
    </row>
    <row r="589" spans="14:80" x14ac:dyDescent="0.25">
      <c r="AA589" s="85"/>
    </row>
    <row r="591" spans="14:80" x14ac:dyDescent="0.25">
      <c r="N591"/>
      <c r="AA591" s="85"/>
      <c r="BK591" s="51"/>
      <c r="BL591" s="51"/>
      <c r="BM591" s="51"/>
      <c r="BN591" s="51"/>
      <c r="BO591" s="51"/>
      <c r="BP591" s="51"/>
      <c r="BQ591" s="51"/>
      <c r="BR591" s="51"/>
      <c r="BS591" s="51"/>
      <c r="BT591" s="51"/>
    </row>
    <row r="592" spans="14:80" x14ac:dyDescent="0.25">
      <c r="N592"/>
      <c r="AA592" s="85"/>
      <c r="BK592" s="51"/>
      <c r="BL592" s="51"/>
      <c r="BM592" s="51"/>
      <c r="BN592" s="51"/>
      <c r="BO592" s="51"/>
      <c r="BP592" s="51"/>
      <c r="BQ592" s="51"/>
      <c r="BR592" s="51"/>
      <c r="BS592" s="51"/>
      <c r="BT592" s="51"/>
      <c r="BU592" s="51"/>
      <c r="BV592" s="51"/>
      <c r="BW592" s="51"/>
      <c r="BZ592" s="51"/>
      <c r="CA592" s="51"/>
      <c r="CB592" s="51"/>
    </row>
    <row r="593" spans="14:68" x14ac:dyDescent="0.25">
      <c r="N593"/>
      <c r="AA593" s="85"/>
      <c r="BK593" s="51"/>
      <c r="BL593" s="51"/>
      <c r="BM593" s="51"/>
      <c r="BN593" s="51"/>
      <c r="BO593" s="51"/>
      <c r="BP593" s="51"/>
    </row>
    <row r="594" spans="14:68" x14ac:dyDescent="0.25">
      <c r="N594"/>
      <c r="AA594" s="85"/>
      <c r="BK594" s="51"/>
      <c r="BL594" s="51"/>
      <c r="BM594" s="51"/>
      <c r="BN594" s="51"/>
      <c r="BO594" s="51"/>
      <c r="BP594" s="51"/>
    </row>
    <row r="595" spans="14:68" x14ac:dyDescent="0.25">
      <c r="AA595" s="85"/>
    </row>
    <row r="596" spans="14:68" x14ac:dyDescent="0.25">
      <c r="AA596" s="85"/>
    </row>
  </sheetData>
  <mergeCells count="1">
    <mergeCell ref="CZ3:DA3"/>
  </mergeCells>
  <phoneticPr fontId="32" type="noConversion"/>
  <conditionalFormatting sqref="N10:N11">
    <cfRule type="duplicateValues" dxfId="179" priority="112"/>
  </conditionalFormatting>
  <conditionalFormatting sqref="N12:N13">
    <cfRule type="duplicateValues" dxfId="178" priority="205"/>
  </conditionalFormatting>
  <conditionalFormatting sqref="N19:N20">
    <cfRule type="duplicateValues" dxfId="176" priority="119"/>
  </conditionalFormatting>
  <conditionalFormatting sqref="N28:N29">
    <cfRule type="duplicateValues" dxfId="174" priority="116"/>
  </conditionalFormatting>
  <conditionalFormatting sqref="N39:N40">
    <cfRule type="duplicateValues" dxfId="172" priority="113"/>
  </conditionalFormatting>
  <conditionalFormatting sqref="N41">
    <cfRule type="duplicateValues" dxfId="171" priority="201"/>
  </conditionalFormatting>
  <conditionalFormatting sqref="N71:N72">
    <cfRule type="duplicateValues" dxfId="163" priority="105"/>
  </conditionalFormatting>
  <conditionalFormatting sqref="N73">
    <cfRule type="duplicateValues" dxfId="162" priority="196"/>
  </conditionalFormatting>
  <conditionalFormatting sqref="N103:N104">
    <cfRule type="duplicateValues" dxfId="154" priority="97"/>
  </conditionalFormatting>
  <conditionalFormatting sqref="N135:N136">
    <cfRule type="duplicateValues" dxfId="146" priority="89"/>
  </conditionalFormatting>
  <conditionalFormatting sqref="N137">
    <cfRule type="duplicateValues" dxfId="145" priority="187"/>
  </conditionalFormatting>
  <conditionalFormatting sqref="N167:N168">
    <cfRule type="duplicateValues" dxfId="137" priority="81"/>
  </conditionalFormatting>
  <conditionalFormatting sqref="N171:N174">
    <cfRule type="duplicateValues" dxfId="136" priority="182"/>
  </conditionalFormatting>
  <conditionalFormatting sqref="N178:N181">
    <cfRule type="duplicateValues" dxfId="135" priority="181"/>
  </conditionalFormatting>
  <conditionalFormatting sqref="N185:N188">
    <cfRule type="duplicateValues" dxfId="134" priority="180"/>
  </conditionalFormatting>
  <conditionalFormatting sqref="N192:N195">
    <cfRule type="duplicateValues" dxfId="133" priority="179"/>
  </conditionalFormatting>
  <conditionalFormatting sqref="N199:N202">
    <cfRule type="duplicateValues" dxfId="132" priority="178"/>
  </conditionalFormatting>
  <conditionalFormatting sqref="N206:N209">
    <cfRule type="duplicateValues" dxfId="131" priority="177"/>
  </conditionalFormatting>
  <conditionalFormatting sqref="N213:N216">
    <cfRule type="duplicateValues" dxfId="130" priority="176"/>
  </conditionalFormatting>
  <conditionalFormatting sqref="N220:N223">
    <cfRule type="duplicateValues" dxfId="129" priority="175"/>
  </conditionalFormatting>
  <conditionalFormatting sqref="N227:N230">
    <cfRule type="duplicateValues" dxfId="128" priority="174"/>
  </conditionalFormatting>
  <conditionalFormatting sqref="N234:N237">
    <cfRule type="duplicateValues" dxfId="127" priority="173"/>
  </conditionalFormatting>
  <conditionalFormatting sqref="N241:N244">
    <cfRule type="duplicateValues" dxfId="126" priority="172"/>
  </conditionalFormatting>
  <conditionalFormatting sqref="N248:N251">
    <cfRule type="duplicateValues" dxfId="125" priority="171"/>
  </conditionalFormatting>
  <conditionalFormatting sqref="N255:N258">
    <cfRule type="duplicateValues" dxfId="124" priority="170"/>
  </conditionalFormatting>
  <conditionalFormatting sqref="N262:N265">
    <cfRule type="duplicateValues" dxfId="123" priority="169"/>
  </conditionalFormatting>
  <conditionalFormatting sqref="N269:N272">
    <cfRule type="duplicateValues" dxfId="122" priority="168"/>
  </conditionalFormatting>
  <conditionalFormatting sqref="N276:N279">
    <cfRule type="duplicateValues" dxfId="121" priority="167"/>
  </conditionalFormatting>
  <conditionalFormatting sqref="N283:N286">
    <cfRule type="duplicateValues" dxfId="120" priority="166"/>
  </conditionalFormatting>
  <conditionalFormatting sqref="N290:N293">
    <cfRule type="duplicateValues" dxfId="119" priority="165"/>
  </conditionalFormatting>
  <conditionalFormatting sqref="N297:N300">
    <cfRule type="duplicateValues" dxfId="118" priority="164"/>
  </conditionalFormatting>
  <conditionalFormatting sqref="N304:N307">
    <cfRule type="duplicateValues" dxfId="117" priority="163"/>
  </conditionalFormatting>
  <conditionalFormatting sqref="N311:N314">
    <cfRule type="duplicateValues" dxfId="116" priority="162"/>
  </conditionalFormatting>
  <conditionalFormatting sqref="N318:N321">
    <cfRule type="duplicateValues" dxfId="115" priority="161"/>
  </conditionalFormatting>
  <conditionalFormatting sqref="N325:N328">
    <cfRule type="duplicateValues" dxfId="114" priority="160"/>
  </conditionalFormatting>
  <conditionalFormatting sqref="N332:N335">
    <cfRule type="duplicateValues" dxfId="113" priority="159"/>
  </conditionalFormatting>
  <conditionalFormatting sqref="N339:N342">
    <cfRule type="duplicateValues" dxfId="112" priority="158"/>
  </conditionalFormatting>
  <conditionalFormatting sqref="N346:N349">
    <cfRule type="duplicateValues" dxfId="111" priority="157"/>
  </conditionalFormatting>
  <conditionalFormatting sqref="N353:N356">
    <cfRule type="duplicateValues" dxfId="110" priority="156"/>
  </conditionalFormatting>
  <conditionalFormatting sqref="N360:N363">
    <cfRule type="duplicateValues" dxfId="109" priority="155"/>
  </conditionalFormatting>
  <conditionalFormatting sqref="N367:N370">
    <cfRule type="duplicateValues" dxfId="108" priority="154"/>
  </conditionalFormatting>
  <conditionalFormatting sqref="N374:N377">
    <cfRule type="duplicateValues" dxfId="107" priority="153"/>
  </conditionalFormatting>
  <conditionalFormatting sqref="N381:N384">
    <cfRule type="duplicateValues" dxfId="106" priority="152"/>
  </conditionalFormatting>
  <conditionalFormatting sqref="N388:N391">
    <cfRule type="duplicateValues" dxfId="105" priority="151"/>
  </conditionalFormatting>
  <conditionalFormatting sqref="N395:N398">
    <cfRule type="duplicateValues" dxfId="104" priority="150"/>
  </conditionalFormatting>
  <conditionalFormatting sqref="N402:N405">
    <cfRule type="duplicateValues" dxfId="103" priority="149"/>
  </conditionalFormatting>
  <conditionalFormatting sqref="N409:N412">
    <cfRule type="duplicateValues" dxfId="102" priority="148"/>
  </conditionalFormatting>
  <conditionalFormatting sqref="N416:N419">
    <cfRule type="duplicateValues" dxfId="101" priority="147"/>
  </conditionalFormatting>
  <conditionalFormatting sqref="N423:N426">
    <cfRule type="duplicateValues" dxfId="100" priority="146"/>
  </conditionalFormatting>
  <conditionalFormatting sqref="N430:N433">
    <cfRule type="duplicateValues" dxfId="99" priority="145"/>
  </conditionalFormatting>
  <conditionalFormatting sqref="N437:N440">
    <cfRule type="duplicateValues" dxfId="98" priority="144"/>
  </conditionalFormatting>
  <conditionalFormatting sqref="N444:N447">
    <cfRule type="duplicateValues" dxfId="97" priority="143"/>
  </conditionalFormatting>
  <conditionalFormatting sqref="N451:N454">
    <cfRule type="duplicateValues" dxfId="96" priority="142"/>
  </conditionalFormatting>
  <conditionalFormatting sqref="N458:N461">
    <cfRule type="duplicateValues" dxfId="95" priority="141"/>
  </conditionalFormatting>
  <conditionalFormatting sqref="N465:N468">
    <cfRule type="duplicateValues" dxfId="94" priority="140"/>
  </conditionalFormatting>
  <conditionalFormatting sqref="N472:N475">
    <cfRule type="duplicateValues" dxfId="93" priority="139"/>
  </conditionalFormatting>
  <conditionalFormatting sqref="N479:N482">
    <cfRule type="duplicateValues" dxfId="92" priority="138"/>
  </conditionalFormatting>
  <conditionalFormatting sqref="N486:N489">
    <cfRule type="duplicateValues" dxfId="91" priority="137"/>
  </conditionalFormatting>
  <conditionalFormatting sqref="N493:N496">
    <cfRule type="duplicateValues" dxfId="90" priority="136"/>
  </conditionalFormatting>
  <conditionalFormatting sqref="N500:N503">
    <cfRule type="duplicateValues" dxfId="89" priority="135"/>
  </conditionalFormatting>
  <conditionalFormatting sqref="N507:N510">
    <cfRule type="duplicateValues" dxfId="88" priority="134"/>
  </conditionalFormatting>
  <conditionalFormatting sqref="N514:N517">
    <cfRule type="duplicateValues" dxfId="87" priority="133"/>
  </conditionalFormatting>
  <conditionalFormatting sqref="N521:N524">
    <cfRule type="duplicateValues" dxfId="86" priority="132"/>
  </conditionalFormatting>
  <conditionalFormatting sqref="N528:N531">
    <cfRule type="duplicateValues" dxfId="85" priority="131"/>
  </conditionalFormatting>
  <conditionalFormatting sqref="N535:N538">
    <cfRule type="duplicateValues" dxfId="84" priority="130"/>
  </conditionalFormatting>
  <conditionalFormatting sqref="N542:N545">
    <cfRule type="duplicateValues" dxfId="83" priority="129"/>
  </conditionalFormatting>
  <conditionalFormatting sqref="N549:N552">
    <cfRule type="duplicateValues" dxfId="82" priority="128"/>
  </conditionalFormatting>
  <conditionalFormatting sqref="N556:N559">
    <cfRule type="duplicateValues" dxfId="81" priority="127"/>
  </conditionalFormatting>
  <conditionalFormatting sqref="N563:N566">
    <cfRule type="duplicateValues" dxfId="80" priority="126"/>
  </conditionalFormatting>
  <conditionalFormatting sqref="N570:N573">
    <cfRule type="duplicateValues" dxfId="79" priority="125"/>
  </conditionalFormatting>
  <conditionalFormatting sqref="N577:N580">
    <cfRule type="duplicateValues" dxfId="78" priority="124"/>
  </conditionalFormatting>
  <conditionalFormatting sqref="N584:N587">
    <cfRule type="duplicateValues" dxfId="77" priority="123"/>
  </conditionalFormatting>
  <conditionalFormatting sqref="N591:N594">
    <cfRule type="duplicateValues" dxfId="76" priority="122"/>
  </conditionalFormatting>
  <conditionalFormatting sqref="N15:N16">
    <cfRule type="duplicateValues" dxfId="75" priority="76"/>
  </conditionalFormatting>
  <conditionalFormatting sqref="N17:N18">
    <cfRule type="duplicateValues" dxfId="74" priority="75"/>
  </conditionalFormatting>
  <conditionalFormatting sqref="N22:N23">
    <cfRule type="duplicateValues" dxfId="73" priority="74"/>
  </conditionalFormatting>
  <conditionalFormatting sqref="N24:N25">
    <cfRule type="duplicateValues" dxfId="72" priority="73"/>
  </conditionalFormatting>
  <conditionalFormatting sqref="N26">
    <cfRule type="duplicateValues" dxfId="71" priority="72"/>
  </conditionalFormatting>
  <conditionalFormatting sqref="N27">
    <cfRule type="duplicateValues" dxfId="70" priority="71"/>
  </conditionalFormatting>
  <conditionalFormatting sqref="N31:N32">
    <cfRule type="duplicateValues" dxfId="69" priority="70"/>
  </conditionalFormatting>
  <conditionalFormatting sqref="N33:N34">
    <cfRule type="duplicateValues" dxfId="68" priority="69"/>
  </conditionalFormatting>
  <conditionalFormatting sqref="N35">
    <cfRule type="duplicateValues" dxfId="67" priority="68"/>
  </conditionalFormatting>
  <conditionalFormatting sqref="N36">
    <cfRule type="duplicateValues" dxfId="66" priority="67"/>
  </conditionalFormatting>
  <conditionalFormatting sqref="N37">
    <cfRule type="duplicateValues" dxfId="65" priority="66"/>
  </conditionalFormatting>
  <conditionalFormatting sqref="N38">
    <cfRule type="duplicateValues" dxfId="64" priority="65"/>
  </conditionalFormatting>
  <conditionalFormatting sqref="N42:N43">
    <cfRule type="duplicateValues" dxfId="63" priority="61"/>
  </conditionalFormatting>
  <conditionalFormatting sqref="N44:N45">
    <cfRule type="duplicateValues" dxfId="62" priority="64"/>
  </conditionalFormatting>
  <conditionalFormatting sqref="N51:N52">
    <cfRule type="duplicateValues" dxfId="61" priority="63"/>
  </conditionalFormatting>
  <conditionalFormatting sqref="N60:N61">
    <cfRule type="duplicateValues" dxfId="60" priority="62"/>
  </conditionalFormatting>
  <conditionalFormatting sqref="N47:N48">
    <cfRule type="duplicateValues" dxfId="59" priority="60"/>
  </conditionalFormatting>
  <conditionalFormatting sqref="N49:N50">
    <cfRule type="duplicateValues" dxfId="58" priority="59"/>
  </conditionalFormatting>
  <conditionalFormatting sqref="N54:N55">
    <cfRule type="duplicateValues" dxfId="57" priority="58"/>
  </conditionalFormatting>
  <conditionalFormatting sqref="N56:N57">
    <cfRule type="duplicateValues" dxfId="56" priority="57"/>
  </conditionalFormatting>
  <conditionalFormatting sqref="N58">
    <cfRule type="duplicateValues" dxfId="55" priority="56"/>
  </conditionalFormatting>
  <conditionalFormatting sqref="N59">
    <cfRule type="duplicateValues" dxfId="54" priority="55"/>
  </conditionalFormatting>
  <conditionalFormatting sqref="N63:N64">
    <cfRule type="duplicateValues" dxfId="53" priority="54"/>
  </conditionalFormatting>
  <conditionalFormatting sqref="N65:N66">
    <cfRule type="duplicateValues" dxfId="52" priority="53"/>
  </conditionalFormatting>
  <conditionalFormatting sqref="N67">
    <cfRule type="duplicateValues" dxfId="51" priority="52"/>
  </conditionalFormatting>
  <conditionalFormatting sqref="N68">
    <cfRule type="duplicateValues" dxfId="50" priority="51"/>
  </conditionalFormatting>
  <conditionalFormatting sqref="N69">
    <cfRule type="duplicateValues" dxfId="49" priority="50"/>
  </conditionalFormatting>
  <conditionalFormatting sqref="N70">
    <cfRule type="duplicateValues" dxfId="48" priority="49"/>
  </conditionalFormatting>
  <conditionalFormatting sqref="N74:N75">
    <cfRule type="duplicateValues" dxfId="47" priority="45"/>
  </conditionalFormatting>
  <conditionalFormatting sqref="N76:N77">
    <cfRule type="duplicateValues" dxfId="46" priority="48"/>
  </conditionalFormatting>
  <conditionalFormatting sqref="N83:N84">
    <cfRule type="duplicateValues" dxfId="45" priority="47"/>
  </conditionalFormatting>
  <conditionalFormatting sqref="N92:N93">
    <cfRule type="duplicateValues" dxfId="44" priority="46"/>
  </conditionalFormatting>
  <conditionalFormatting sqref="N79:N80">
    <cfRule type="duplicateValues" dxfId="43" priority="44"/>
  </conditionalFormatting>
  <conditionalFormatting sqref="N81:N82">
    <cfRule type="duplicateValues" dxfId="42" priority="43"/>
  </conditionalFormatting>
  <conditionalFormatting sqref="N86:N87">
    <cfRule type="duplicateValues" dxfId="41" priority="42"/>
  </conditionalFormatting>
  <conditionalFormatting sqref="N88:N89">
    <cfRule type="duplicateValues" dxfId="40" priority="41"/>
  </conditionalFormatting>
  <conditionalFormatting sqref="N90">
    <cfRule type="duplicateValues" dxfId="39" priority="40"/>
  </conditionalFormatting>
  <conditionalFormatting sqref="N91">
    <cfRule type="duplicateValues" dxfId="38" priority="39"/>
  </conditionalFormatting>
  <conditionalFormatting sqref="N95:N96">
    <cfRule type="duplicateValues" dxfId="37" priority="38"/>
  </conditionalFormatting>
  <conditionalFormatting sqref="N97:N98">
    <cfRule type="duplicateValues" dxfId="36" priority="37"/>
  </conditionalFormatting>
  <conditionalFormatting sqref="N99">
    <cfRule type="duplicateValues" dxfId="35" priority="36"/>
  </conditionalFormatting>
  <conditionalFormatting sqref="N100">
    <cfRule type="duplicateValues" dxfId="34" priority="35"/>
  </conditionalFormatting>
  <conditionalFormatting sqref="N101">
    <cfRule type="duplicateValues" dxfId="33" priority="34"/>
  </conditionalFormatting>
  <conditionalFormatting sqref="N102">
    <cfRule type="duplicateValues" dxfId="32" priority="33"/>
  </conditionalFormatting>
  <conditionalFormatting sqref="N106:N107">
    <cfRule type="duplicateValues" dxfId="31" priority="29"/>
  </conditionalFormatting>
  <conditionalFormatting sqref="N108:N109">
    <cfRule type="duplicateValues" dxfId="30" priority="32"/>
  </conditionalFormatting>
  <conditionalFormatting sqref="N115:N116">
    <cfRule type="duplicateValues" dxfId="29" priority="31"/>
  </conditionalFormatting>
  <conditionalFormatting sqref="N124:N125">
    <cfRule type="duplicateValues" dxfId="28" priority="30"/>
  </conditionalFormatting>
  <conditionalFormatting sqref="N111:N112">
    <cfRule type="duplicateValues" dxfId="27" priority="28"/>
  </conditionalFormatting>
  <conditionalFormatting sqref="N113:N114">
    <cfRule type="duplicateValues" dxfId="26" priority="27"/>
  </conditionalFormatting>
  <conditionalFormatting sqref="N118:N119">
    <cfRule type="duplicateValues" dxfId="25" priority="26"/>
  </conditionalFormatting>
  <conditionalFormatting sqref="N120:N121">
    <cfRule type="duplicateValues" dxfId="24" priority="25"/>
  </conditionalFormatting>
  <conditionalFormatting sqref="N122">
    <cfRule type="duplicateValues" dxfId="23" priority="24"/>
  </conditionalFormatting>
  <conditionalFormatting sqref="N123">
    <cfRule type="duplicateValues" dxfId="22" priority="23"/>
  </conditionalFormatting>
  <conditionalFormatting sqref="N127:N128">
    <cfRule type="duplicateValues" dxfId="21" priority="22"/>
  </conditionalFormatting>
  <conditionalFormatting sqref="N129:N130">
    <cfRule type="duplicateValues" dxfId="20" priority="21"/>
  </conditionalFormatting>
  <conditionalFormatting sqref="N131">
    <cfRule type="duplicateValues" dxfId="19" priority="20"/>
  </conditionalFormatting>
  <conditionalFormatting sqref="N132">
    <cfRule type="duplicateValues" dxfId="18" priority="19"/>
  </conditionalFormatting>
  <conditionalFormatting sqref="N133">
    <cfRule type="duplicateValues" dxfId="17" priority="18"/>
  </conditionalFormatting>
  <conditionalFormatting sqref="N134">
    <cfRule type="duplicateValues" dxfId="16" priority="17"/>
  </conditionalFormatting>
  <conditionalFormatting sqref="N138:N139">
    <cfRule type="duplicateValues" dxfId="15" priority="13"/>
  </conditionalFormatting>
  <conditionalFormatting sqref="N140:N141">
    <cfRule type="duplicateValues" dxfId="14" priority="16"/>
  </conditionalFormatting>
  <conditionalFormatting sqref="N147:N148">
    <cfRule type="duplicateValues" dxfId="13" priority="15"/>
  </conditionalFormatting>
  <conditionalFormatting sqref="N156:N157">
    <cfRule type="duplicateValues" dxfId="12" priority="14"/>
  </conditionalFormatting>
  <conditionalFormatting sqref="N143:N144">
    <cfRule type="duplicateValues" dxfId="11" priority="12"/>
  </conditionalFormatting>
  <conditionalFormatting sqref="N145:N146">
    <cfRule type="duplicateValues" dxfId="10" priority="11"/>
  </conditionalFormatting>
  <conditionalFormatting sqref="N150:N151">
    <cfRule type="duplicateValues" dxfId="9" priority="10"/>
  </conditionalFormatting>
  <conditionalFormatting sqref="N152:N153">
    <cfRule type="duplicateValues" dxfId="8" priority="9"/>
  </conditionalFormatting>
  <conditionalFormatting sqref="N154">
    <cfRule type="duplicateValues" dxfId="7" priority="8"/>
  </conditionalFormatting>
  <conditionalFormatting sqref="N155">
    <cfRule type="duplicateValues" dxfId="6" priority="7"/>
  </conditionalFormatting>
  <conditionalFormatting sqref="N159:N160">
    <cfRule type="duplicateValues" dxfId="5" priority="6"/>
  </conditionalFormatting>
  <conditionalFormatting sqref="N161:N162">
    <cfRule type="duplicateValues" dxfId="4" priority="5"/>
  </conditionalFormatting>
  <conditionalFormatting sqref="N163">
    <cfRule type="duplicateValues" dxfId="3" priority="4"/>
  </conditionalFormatting>
  <conditionalFormatting sqref="N164">
    <cfRule type="duplicateValues" dxfId="2" priority="3"/>
  </conditionalFormatting>
  <conditionalFormatting sqref="N165">
    <cfRule type="duplicateValues" dxfId="1" priority="2"/>
  </conditionalFormatting>
  <conditionalFormatting sqref="N166">
    <cfRule type="duplicateValues" dxfId="0" priority="1"/>
  </conditionalFormatting>
  <hyperlinks>
    <hyperlink ref="L6" location="AAM734_connection_type_HELP" display="AAM734" xr:uid="{BBB07D79-7257-47E4-8A7E-A2182C71861D}"/>
    <hyperlink ref="CG6" location="AAC207_contact_material_HELP" display="AAC207" xr:uid="{2AE104B5-1B23-40EB-A374-BFB3B7BE9DA1}"/>
    <hyperlink ref="D6" location="connection_point_name_pins_HELP" display="Only Classification" xr:uid="{2B85D378-9E18-4BBD-B139-0E17F606302F}"/>
    <hyperlink ref="M6" location="AAN496_connection_direction_HELP" display="AAN496" xr:uid="{7785B7CD-ADF5-4FA1-9D91-0C5A0536EC87}"/>
    <hyperlink ref="G6" location="Help!A104" display="Only Classification" xr:uid="{0CD51A28-C252-4F1C-815B-34135F1E85FF}"/>
    <hyperlink ref="CU6" location="AAN476_drilling_type_HELP" display="AAN476" xr:uid="{FD57EC2C-AC5A-4FC6-95F0-16A591ADDF71}"/>
    <hyperlink ref="BC6" location="AAN413_connection_function_HELP" display="Connection function" xr:uid="{DA1F67D5-7E98-4A26-811B-57B4F65CDF05}"/>
    <hyperlink ref="CB6" location="AAG644_socket_size_HELP" display="AAG644" xr:uid="{CFFC5A8B-CD8F-4BE6-9B00-E05969E20E61}"/>
    <hyperlink ref="DH6" location="AAN580_type_of_plug_connection_HELP" display="CNS_TYPE_OF_PLUG_CONNECTION" xr:uid="{B950773C-3A0B-44BF-90FB-CCA4B6C6F075}"/>
    <hyperlink ref="AD6" location="AAM654_type_of_barred_area_HELP" display="CNS_TYPE_OF_BARRED_AREA" xr:uid="{A5CF1393-EC95-4817-8050-BAC845D875EC}"/>
    <hyperlink ref="EH6" location="AAZ399_area_shape_HELP" display="CNS_AREA_SHAPE" xr:uid="{546BB799-0751-4FF5-BAAE-1BE5C43ECCD8}"/>
    <hyperlink ref="ES6" location="AAZ399_area_shape_HELP" display="CNS_AREA_SHAPE" xr:uid="{8FABA6F9-7407-45DC-AFA6-06826D5F00ED}"/>
    <hyperlink ref="EV6" location="CNS_RESTRICTED_AREA_TYPE_HELP" display="CNS_RESTRICTED_AREA_TYPE" xr:uid="{4C82D76D-94A6-4D6A-A158-8DFE1A44EBA1}"/>
    <hyperlink ref="BN6" location="CROSS_AWG_MIN_HELP" display="CROSSECTION_MIN_AWG" xr:uid="{A14FBC45-09A8-40F7-95F8-4DF238E36707}"/>
    <hyperlink ref="BO6" location="CROSS_AWG_MAX_HELP" display="CROSSECTION_MAX_AWG" xr:uid="{1BEBAFB2-AD2D-444B-A334-0E3B2D34E7DF}"/>
    <hyperlink ref="AQ6" location="CNS_COMPONENT_FUNCTION_3D_HELP" display="CNS_COMPONENT_FUNCTION_3D" xr:uid="{B895AA79-D7AD-4FFC-8CD7-24C2191729DD}"/>
    <hyperlink ref="CV6" location="drilling_subtype_Help" display="000005001" xr:uid="{AB8C199B-6FE8-4F5B-9A13-27FC3F622274}"/>
    <hyperlink ref="U6" location="mounting_description_HELP" display="CNS_SIM_DESCRIPTION" xr:uid="{BB99D500-EBAC-4F00-AAFB-7D1FAD218FFF}"/>
    <hyperlink ref="AA6" location="Help!CNS_TYPE_OF_BARRED_AREA_Type" display="CNS_TYPE_OF_BARRED_AREA " xr:uid="{28AD55B2-8D05-4F56-9ED3-06AD83FEAE7F}"/>
    <hyperlink ref="AK6" location="Help!CNS_COMPONENT_MOUNTING_TYPE" display="CNS_COMPONENT_MOUNTING_TYPE" xr:uid="{11E4BB6B-77E8-404D-B516-D38135CDAA6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B1ADB-70E5-419F-AFB9-D6344EAEC6D5}">
  <dimension ref="A1:J8"/>
  <sheetViews>
    <sheetView topLeftCell="A2" zoomScale="70" zoomScaleNormal="70" workbookViewId="0">
      <selection activeCell="D9" sqref="D9"/>
    </sheetView>
  </sheetViews>
  <sheetFormatPr defaultColWidth="11.42578125" defaultRowHeight="15" x14ac:dyDescent="0.25"/>
  <cols>
    <col min="1" max="1" width="12.5703125" style="39" bestFit="1" customWidth="1"/>
    <col min="2" max="4" width="25.7109375" style="39" customWidth="1"/>
    <col min="5" max="5" width="4.7109375" style="39" customWidth="1"/>
    <col min="6" max="10" width="25.7109375" style="39" customWidth="1"/>
    <col min="11" max="16384" width="11.42578125" style="39"/>
  </cols>
  <sheetData>
    <row r="1" spans="1:10" ht="15.75" thickBot="1" x14ac:dyDescent="0.3">
      <c r="A1" s="41" t="s">
        <v>110</v>
      </c>
      <c r="C1" s="47" t="s">
        <v>468</v>
      </c>
      <c r="D1" s="47" t="s">
        <v>468</v>
      </c>
      <c r="E1" s="47"/>
      <c r="F1" s="47" t="s">
        <v>468</v>
      </c>
      <c r="G1" s="47" t="s">
        <v>468</v>
      </c>
      <c r="H1" s="47" t="s">
        <v>468</v>
      </c>
      <c r="I1" s="47" t="s">
        <v>468</v>
      </c>
      <c r="J1" s="47" t="s">
        <v>468</v>
      </c>
    </row>
    <row r="2" spans="1:10" customFormat="1" ht="57" thickBot="1" x14ac:dyDescent="0.3">
      <c r="A2" s="45" t="s">
        <v>112</v>
      </c>
      <c r="B2" s="6" t="s">
        <v>469</v>
      </c>
      <c r="C2" s="7" t="s">
        <v>4</v>
      </c>
      <c r="D2" s="86" t="s">
        <v>4</v>
      </c>
      <c r="E2" s="14"/>
      <c r="F2" s="7" t="s">
        <v>4</v>
      </c>
      <c r="G2" s="7" t="s">
        <v>4</v>
      </c>
      <c r="H2" s="7" t="s">
        <v>4</v>
      </c>
      <c r="I2" s="7" t="s">
        <v>4</v>
      </c>
      <c r="J2" s="7" t="s">
        <v>4</v>
      </c>
    </row>
    <row r="3" spans="1:10" customFormat="1" ht="31.5" x14ac:dyDescent="0.25">
      <c r="A3" s="41" t="s">
        <v>115</v>
      </c>
      <c r="B3" s="13" t="s">
        <v>8</v>
      </c>
      <c r="C3" s="13" t="s">
        <v>470</v>
      </c>
      <c r="D3" s="13" t="s">
        <v>470</v>
      </c>
      <c r="E3" s="14"/>
      <c r="F3" s="13" t="s">
        <v>12</v>
      </c>
      <c r="G3" s="13" t="s">
        <v>12</v>
      </c>
      <c r="H3" s="13" t="s">
        <v>12</v>
      </c>
      <c r="I3" s="13" t="s">
        <v>12</v>
      </c>
      <c r="J3" s="13" t="s">
        <v>12</v>
      </c>
    </row>
    <row r="4" spans="1:10" s="90" customFormat="1" ht="37.5" x14ac:dyDescent="0.25">
      <c r="A4" s="47" t="s">
        <v>117</v>
      </c>
      <c r="B4" s="87" t="s">
        <v>104</v>
      </c>
      <c r="C4" s="71" t="s">
        <v>226</v>
      </c>
      <c r="D4" s="88" t="s">
        <v>17</v>
      </c>
      <c r="E4" s="89"/>
      <c r="F4" s="71" t="s">
        <v>471</v>
      </c>
      <c r="G4" s="88" t="s">
        <v>20</v>
      </c>
      <c r="H4" s="71" t="s">
        <v>14</v>
      </c>
      <c r="I4" s="88" t="s">
        <v>29</v>
      </c>
      <c r="J4" s="71" t="s">
        <v>472</v>
      </c>
    </row>
    <row r="5" spans="1:10" s="90" customFormat="1" ht="37.5" x14ac:dyDescent="0.25">
      <c r="A5" s="13" t="s">
        <v>125</v>
      </c>
      <c r="B5" s="87" t="s">
        <v>104</v>
      </c>
      <c r="C5" s="71" t="s">
        <v>323</v>
      </c>
      <c r="D5" s="71" t="s">
        <v>473</v>
      </c>
      <c r="E5" s="89"/>
      <c r="F5" s="91" t="s">
        <v>474</v>
      </c>
      <c r="G5" s="71" t="s">
        <v>475</v>
      </c>
      <c r="H5" s="71" t="s">
        <v>476</v>
      </c>
      <c r="I5" s="71" t="s">
        <v>477</v>
      </c>
      <c r="J5" s="88" t="s">
        <v>478</v>
      </c>
    </row>
    <row r="6" spans="1:10" customFormat="1" ht="337.5" x14ac:dyDescent="0.25">
      <c r="A6" s="47" t="s">
        <v>123</v>
      </c>
      <c r="B6" s="34" t="s">
        <v>479</v>
      </c>
      <c r="C6" s="34" t="s">
        <v>480</v>
      </c>
      <c r="D6" s="34" t="s">
        <v>481</v>
      </c>
      <c r="E6" s="25"/>
      <c r="F6" s="92" t="s">
        <v>482</v>
      </c>
      <c r="G6" s="34" t="s">
        <v>483</v>
      </c>
      <c r="H6" s="34" t="s">
        <v>484</v>
      </c>
      <c r="I6" s="34" t="s">
        <v>81</v>
      </c>
      <c r="J6" s="34" t="s">
        <v>485</v>
      </c>
    </row>
    <row r="7" spans="1:10" customFormat="1" ht="18.75" x14ac:dyDescent="0.25">
      <c r="A7" s="47" t="s">
        <v>457</v>
      </c>
      <c r="B7" s="93" t="s">
        <v>104</v>
      </c>
      <c r="C7" s="93" t="s">
        <v>104</v>
      </c>
      <c r="D7" s="93" t="s">
        <v>104</v>
      </c>
      <c r="E7" s="25"/>
      <c r="F7" s="69" t="s">
        <v>104</v>
      </c>
      <c r="G7" s="69" t="s">
        <v>104</v>
      </c>
      <c r="H7" s="69" t="s">
        <v>104</v>
      </c>
      <c r="I7" s="69" t="s">
        <v>104</v>
      </c>
      <c r="J7" s="69" t="s">
        <v>104</v>
      </c>
    </row>
    <row r="8" spans="1:10" ht="18.75" x14ac:dyDescent="0.25">
      <c r="A8" s="61" t="s">
        <v>137</v>
      </c>
      <c r="E8" s="94"/>
    </row>
  </sheetData>
  <hyperlinks>
    <hyperlink ref="F5" location="AAN350_part_relation_to_the_main_device_HELP" display="000050001" xr:uid="{3C72EA18-5E90-426B-8746-E93D5175330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39097-B17E-4BF1-AA5B-D818400BBD73}">
  <dimension ref="A1:BI28"/>
  <sheetViews>
    <sheetView topLeftCell="A6" zoomScale="70" zoomScaleNormal="70" workbookViewId="0">
      <selection activeCell="G27" sqref="G27"/>
    </sheetView>
  </sheetViews>
  <sheetFormatPr defaultColWidth="11.42578125" defaultRowHeight="15" x14ac:dyDescent="0.25"/>
  <cols>
    <col min="1" max="1" width="11.42578125" style="41"/>
    <col min="2" max="2" width="17.7109375" style="39" customWidth="1"/>
    <col min="3" max="5" width="25.7109375" style="39" customWidth="1"/>
    <col min="6" max="6" width="4.7109375" style="39" customWidth="1"/>
    <col min="7" max="61" width="25.7109375" style="39" customWidth="1"/>
    <col min="62" max="16384" width="11.42578125" style="39"/>
  </cols>
  <sheetData>
    <row r="1" spans="1:61" ht="15.75" thickBot="1" x14ac:dyDescent="0.3">
      <c r="A1" s="41" t="s">
        <v>110</v>
      </c>
    </row>
    <row r="2" spans="1:61" customFormat="1" ht="57" thickBot="1" x14ac:dyDescent="0.35">
      <c r="A2" s="47" t="s">
        <v>112</v>
      </c>
      <c r="B2" s="95"/>
      <c r="C2" s="10" t="s">
        <v>486</v>
      </c>
      <c r="D2" s="10" t="s">
        <v>486</v>
      </c>
      <c r="E2" s="6" t="s">
        <v>3</v>
      </c>
      <c r="F2" s="11"/>
      <c r="G2" s="7" t="s">
        <v>7</v>
      </c>
      <c r="H2" s="7" t="s">
        <v>7</v>
      </c>
      <c r="I2" s="6" t="s">
        <v>3</v>
      </c>
      <c r="J2" s="7" t="s">
        <v>7</v>
      </c>
      <c r="K2" s="7" t="s">
        <v>7</v>
      </c>
      <c r="L2" s="7" t="s">
        <v>7</v>
      </c>
      <c r="M2" s="7" t="s">
        <v>7</v>
      </c>
      <c r="N2" s="7" t="s">
        <v>7</v>
      </c>
      <c r="O2" s="7" t="s">
        <v>7</v>
      </c>
      <c r="P2" s="7" t="s">
        <v>7</v>
      </c>
      <c r="Q2" s="7" t="s">
        <v>7</v>
      </c>
      <c r="R2" s="7" t="s">
        <v>7</v>
      </c>
      <c r="S2" s="7" t="s">
        <v>7</v>
      </c>
      <c r="T2" s="7" t="s">
        <v>7</v>
      </c>
      <c r="U2" s="7" t="s">
        <v>7</v>
      </c>
      <c r="V2" s="7" t="s">
        <v>7</v>
      </c>
      <c r="W2" s="7" t="s">
        <v>7</v>
      </c>
      <c r="X2" s="7" t="s">
        <v>7</v>
      </c>
      <c r="Y2" s="7" t="s">
        <v>7</v>
      </c>
      <c r="Z2" s="7" t="s">
        <v>7</v>
      </c>
      <c r="AA2" s="7" t="s">
        <v>7</v>
      </c>
      <c r="AB2" s="7" t="s">
        <v>7</v>
      </c>
      <c r="AC2" s="7" t="s">
        <v>7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 t="s">
        <v>7</v>
      </c>
      <c r="AM2" s="7" t="s">
        <v>7</v>
      </c>
      <c r="AN2" s="7" t="s">
        <v>7</v>
      </c>
      <c r="AO2" s="7" t="s">
        <v>7</v>
      </c>
      <c r="AP2" s="7" t="s">
        <v>7</v>
      </c>
      <c r="AQ2" s="7" t="s">
        <v>7</v>
      </c>
      <c r="AR2" s="7" t="s">
        <v>7</v>
      </c>
      <c r="AS2" s="7" t="s">
        <v>7</v>
      </c>
      <c r="AT2" s="7" t="s">
        <v>7</v>
      </c>
      <c r="AU2" s="7" t="s">
        <v>7</v>
      </c>
      <c r="AV2" s="7" t="s">
        <v>7</v>
      </c>
      <c r="AW2" s="7" t="s">
        <v>7</v>
      </c>
      <c r="AX2" s="7" t="s">
        <v>7</v>
      </c>
      <c r="AY2" s="7" t="s">
        <v>7</v>
      </c>
      <c r="AZ2" s="7" t="s">
        <v>7</v>
      </c>
      <c r="BA2" s="7" t="s">
        <v>7</v>
      </c>
      <c r="BB2" s="7" t="s">
        <v>7</v>
      </c>
      <c r="BC2" s="7" t="s">
        <v>7</v>
      </c>
      <c r="BD2" s="7" t="s">
        <v>7</v>
      </c>
      <c r="BE2" s="7" t="s">
        <v>7</v>
      </c>
      <c r="BF2" s="7" t="s">
        <v>7</v>
      </c>
      <c r="BG2" s="7" t="s">
        <v>7</v>
      </c>
      <c r="BH2" s="7" t="s">
        <v>7</v>
      </c>
      <c r="BI2" s="7" t="s">
        <v>7</v>
      </c>
    </row>
    <row r="3" spans="1:61" customFormat="1" ht="18.75" x14ac:dyDescent="0.25">
      <c r="A3" s="47" t="s">
        <v>115</v>
      </c>
      <c r="B3" s="15"/>
      <c r="C3" s="15" t="s">
        <v>487</v>
      </c>
      <c r="D3" s="15" t="s">
        <v>487</v>
      </c>
      <c r="E3" s="13" t="s">
        <v>8</v>
      </c>
      <c r="F3" s="16"/>
      <c r="G3" s="13" t="s">
        <v>12</v>
      </c>
      <c r="H3" s="13" t="s">
        <v>12</v>
      </c>
      <c r="I3" s="13" t="s">
        <v>12</v>
      </c>
      <c r="J3" s="13" t="s">
        <v>12</v>
      </c>
      <c r="K3" s="13" t="s">
        <v>12</v>
      </c>
      <c r="L3" s="13" t="s">
        <v>12</v>
      </c>
      <c r="M3" s="13" t="s">
        <v>12</v>
      </c>
      <c r="N3" s="13" t="s">
        <v>12</v>
      </c>
      <c r="O3" s="13" t="s">
        <v>12</v>
      </c>
      <c r="P3" s="13" t="s">
        <v>12</v>
      </c>
      <c r="Q3" s="13" t="s">
        <v>12</v>
      </c>
      <c r="R3" s="13" t="s">
        <v>12</v>
      </c>
      <c r="S3" s="13" t="s">
        <v>12</v>
      </c>
      <c r="T3" s="13" t="s">
        <v>12</v>
      </c>
      <c r="U3" s="13" t="s">
        <v>12</v>
      </c>
      <c r="V3" s="13" t="s">
        <v>12</v>
      </c>
      <c r="W3" s="13" t="s">
        <v>12</v>
      </c>
      <c r="X3" s="13" t="s">
        <v>12</v>
      </c>
      <c r="Y3" s="13" t="s">
        <v>12</v>
      </c>
      <c r="Z3" s="13" t="s">
        <v>12</v>
      </c>
      <c r="AA3" s="13" t="s">
        <v>12</v>
      </c>
      <c r="AB3" s="13" t="s">
        <v>12</v>
      </c>
      <c r="AC3" s="13" t="s">
        <v>12</v>
      </c>
      <c r="AD3" s="13" t="s">
        <v>12</v>
      </c>
      <c r="AE3" s="13" t="s">
        <v>12</v>
      </c>
      <c r="AF3" s="13" t="s">
        <v>12</v>
      </c>
      <c r="AG3" s="13" t="s">
        <v>12</v>
      </c>
      <c r="AH3" s="13" t="s">
        <v>12</v>
      </c>
      <c r="AI3" s="13" t="s">
        <v>12</v>
      </c>
      <c r="AJ3" s="13" t="s">
        <v>12</v>
      </c>
      <c r="AK3" s="13" t="s">
        <v>12</v>
      </c>
      <c r="AL3" s="13" t="s">
        <v>12</v>
      </c>
      <c r="AM3" s="13" t="s">
        <v>12</v>
      </c>
      <c r="AN3" s="13" t="s">
        <v>12</v>
      </c>
      <c r="AO3" s="13" t="s">
        <v>12</v>
      </c>
      <c r="AP3" s="13" t="s">
        <v>12</v>
      </c>
      <c r="AQ3" s="13" t="s">
        <v>12</v>
      </c>
      <c r="AR3" s="13" t="s">
        <v>12</v>
      </c>
      <c r="AS3" s="13" t="s">
        <v>12</v>
      </c>
      <c r="AT3" s="13" t="s">
        <v>12</v>
      </c>
      <c r="AU3" s="13" t="s">
        <v>12</v>
      </c>
      <c r="AV3" s="13" t="s">
        <v>12</v>
      </c>
      <c r="AW3" s="13" t="s">
        <v>12</v>
      </c>
      <c r="AX3" s="13" t="s">
        <v>12</v>
      </c>
      <c r="AY3" s="13" t="s">
        <v>12</v>
      </c>
      <c r="AZ3" s="13" t="s">
        <v>12</v>
      </c>
      <c r="BA3" s="13" t="s">
        <v>12</v>
      </c>
      <c r="BB3" s="13" t="s">
        <v>12</v>
      </c>
      <c r="BC3" s="13" t="s">
        <v>12</v>
      </c>
      <c r="BD3" s="13" t="s">
        <v>12</v>
      </c>
      <c r="BE3" s="13" t="s">
        <v>12</v>
      </c>
      <c r="BF3" s="13" t="s">
        <v>12</v>
      </c>
      <c r="BG3" s="13" t="s">
        <v>12</v>
      </c>
      <c r="BH3" s="13" t="s">
        <v>12</v>
      </c>
      <c r="BI3" s="13" t="s">
        <v>12</v>
      </c>
    </row>
    <row r="4" spans="1:61" customFormat="1" ht="37.5" x14ac:dyDescent="0.25">
      <c r="A4" s="47" t="s">
        <v>117</v>
      </c>
      <c r="B4" s="20" t="s">
        <v>13</v>
      </c>
      <c r="C4" s="20" t="s">
        <v>488</v>
      </c>
      <c r="D4" s="20" t="s">
        <v>489</v>
      </c>
      <c r="E4" s="19" t="s">
        <v>17</v>
      </c>
      <c r="F4" s="25"/>
      <c r="G4" s="20" t="s">
        <v>490</v>
      </c>
      <c r="H4" s="20" t="s">
        <v>227</v>
      </c>
      <c r="I4" s="20" t="s">
        <v>491</v>
      </c>
      <c r="J4" s="20" t="s">
        <v>492</v>
      </c>
      <c r="K4" s="20" t="s">
        <v>493</v>
      </c>
      <c r="L4" s="20" t="s">
        <v>494</v>
      </c>
      <c r="M4" s="20" t="s">
        <v>495</v>
      </c>
      <c r="N4" s="20" t="s">
        <v>496</v>
      </c>
      <c r="O4" s="20" t="s">
        <v>497</v>
      </c>
      <c r="P4" s="20" t="s">
        <v>498</v>
      </c>
      <c r="Q4" s="20" t="s">
        <v>499</v>
      </c>
      <c r="R4" s="20" t="s">
        <v>500</v>
      </c>
      <c r="S4" s="20" t="s">
        <v>501</v>
      </c>
      <c r="T4" s="20" t="s">
        <v>502</v>
      </c>
      <c r="U4" s="20" t="s">
        <v>503</v>
      </c>
      <c r="V4" s="20" t="s">
        <v>504</v>
      </c>
      <c r="W4" s="20" t="s">
        <v>505</v>
      </c>
      <c r="X4" s="20" t="s">
        <v>506</v>
      </c>
      <c r="Y4" s="20" t="s">
        <v>507</v>
      </c>
      <c r="Z4" s="20" t="s">
        <v>508</v>
      </c>
      <c r="AA4" s="20" t="s">
        <v>509</v>
      </c>
      <c r="AB4" s="20" t="s">
        <v>510</v>
      </c>
      <c r="AC4" s="20" t="s">
        <v>511</v>
      </c>
      <c r="AD4" s="20" t="s">
        <v>512</v>
      </c>
      <c r="AE4" s="20" t="s">
        <v>513</v>
      </c>
      <c r="AF4" s="20" t="s">
        <v>514</v>
      </c>
      <c r="AG4" s="20" t="s">
        <v>515</v>
      </c>
      <c r="AH4" s="20" t="s">
        <v>516</v>
      </c>
      <c r="AI4" s="20" t="s">
        <v>517</v>
      </c>
      <c r="AJ4" s="20" t="s">
        <v>518</v>
      </c>
      <c r="AK4" s="20" t="s">
        <v>519</v>
      </c>
      <c r="AL4" s="20" t="s">
        <v>520</v>
      </c>
      <c r="AM4" s="20" t="s">
        <v>521</v>
      </c>
      <c r="AN4" s="20" t="s">
        <v>522</v>
      </c>
      <c r="AO4" s="20" t="s">
        <v>523</v>
      </c>
      <c r="AP4" s="20" t="s">
        <v>524</v>
      </c>
      <c r="AQ4" s="20" t="s">
        <v>525</v>
      </c>
      <c r="AR4" s="20" t="s">
        <v>526</v>
      </c>
      <c r="AS4" s="20" t="s">
        <v>195</v>
      </c>
      <c r="AT4" s="20" t="s">
        <v>527</v>
      </c>
      <c r="AU4" s="20" t="s">
        <v>528</v>
      </c>
      <c r="AV4" s="20" t="s">
        <v>529</v>
      </c>
      <c r="AW4" s="20" t="s">
        <v>530</v>
      </c>
      <c r="AX4" s="20" t="s">
        <v>531</v>
      </c>
      <c r="AY4" s="20" t="s">
        <v>532</v>
      </c>
      <c r="AZ4" s="20" t="s">
        <v>533</v>
      </c>
      <c r="BA4" s="20" t="s">
        <v>534</v>
      </c>
      <c r="BB4" s="20" t="s">
        <v>535</v>
      </c>
      <c r="BC4" s="20" t="s">
        <v>536</v>
      </c>
      <c r="BD4" s="20" t="s">
        <v>537</v>
      </c>
      <c r="BE4" s="20" t="s">
        <v>538</v>
      </c>
      <c r="BF4" s="20" t="s">
        <v>539</v>
      </c>
      <c r="BG4" s="20" t="s">
        <v>540</v>
      </c>
      <c r="BH4" s="20" t="s">
        <v>541</v>
      </c>
      <c r="BI4" s="20" t="s">
        <v>542</v>
      </c>
    </row>
    <row r="5" spans="1:61" customFormat="1" ht="37.5" x14ac:dyDescent="0.25">
      <c r="A5" s="47" t="s">
        <v>125</v>
      </c>
      <c r="B5" s="20" t="s">
        <v>48</v>
      </c>
      <c r="C5" s="20" t="s">
        <v>49</v>
      </c>
      <c r="D5" s="20" t="s">
        <v>49</v>
      </c>
      <c r="E5" s="20" t="s">
        <v>17</v>
      </c>
      <c r="F5" s="30"/>
      <c r="G5" s="28" t="s">
        <v>490</v>
      </c>
      <c r="H5" s="20" t="s">
        <v>227</v>
      </c>
      <c r="I5" s="20" t="s">
        <v>491</v>
      </c>
      <c r="J5" s="20" t="s">
        <v>492</v>
      </c>
      <c r="K5" s="20" t="s">
        <v>493</v>
      </c>
      <c r="L5" s="28" t="s">
        <v>494</v>
      </c>
      <c r="M5" s="20" t="s">
        <v>495</v>
      </c>
      <c r="N5" s="20" t="s">
        <v>496</v>
      </c>
      <c r="O5" s="20" t="s">
        <v>497</v>
      </c>
      <c r="P5" s="20" t="s">
        <v>498</v>
      </c>
      <c r="Q5" s="20" t="s">
        <v>499</v>
      </c>
      <c r="R5" s="28" t="s">
        <v>500</v>
      </c>
      <c r="S5" s="28" t="s">
        <v>501</v>
      </c>
      <c r="T5" s="28" t="s">
        <v>502</v>
      </c>
      <c r="U5" s="20" t="s">
        <v>503</v>
      </c>
      <c r="V5" s="20" t="s">
        <v>504</v>
      </c>
      <c r="W5" s="20" t="s">
        <v>505</v>
      </c>
      <c r="X5" s="20" t="s">
        <v>506</v>
      </c>
      <c r="Y5" s="20" t="s">
        <v>507</v>
      </c>
      <c r="Z5" s="20" t="s">
        <v>508</v>
      </c>
      <c r="AA5" s="28" t="s">
        <v>509</v>
      </c>
      <c r="AB5" s="28" t="s">
        <v>510</v>
      </c>
      <c r="AC5" s="20" t="s">
        <v>511</v>
      </c>
      <c r="AD5" s="20" t="s">
        <v>512</v>
      </c>
      <c r="AE5" s="20" t="s">
        <v>513</v>
      </c>
      <c r="AF5" s="20" t="s">
        <v>514</v>
      </c>
      <c r="AG5" s="20" t="s">
        <v>515</v>
      </c>
      <c r="AH5" s="28" t="s">
        <v>516</v>
      </c>
      <c r="AI5" s="28" t="s">
        <v>517</v>
      </c>
      <c r="AJ5" s="20" t="s">
        <v>518</v>
      </c>
      <c r="AK5" s="20" t="s">
        <v>519</v>
      </c>
      <c r="AL5" s="20" t="s">
        <v>520</v>
      </c>
      <c r="AM5" s="20" t="s">
        <v>521</v>
      </c>
      <c r="AN5" s="20" t="s">
        <v>522</v>
      </c>
      <c r="AO5" s="28" t="s">
        <v>523</v>
      </c>
      <c r="AP5" s="20" t="s">
        <v>524</v>
      </c>
      <c r="AQ5" s="20" t="s">
        <v>525</v>
      </c>
      <c r="AR5" s="20" t="s">
        <v>526</v>
      </c>
      <c r="AS5" s="28" t="s">
        <v>195</v>
      </c>
      <c r="AT5" s="20" t="s">
        <v>527</v>
      </c>
      <c r="AU5" s="28" t="s">
        <v>528</v>
      </c>
      <c r="AV5" s="28" t="s">
        <v>529</v>
      </c>
      <c r="AW5" s="20" t="s">
        <v>530</v>
      </c>
      <c r="AX5" s="20" t="s">
        <v>531</v>
      </c>
      <c r="AY5" s="20" t="s">
        <v>532</v>
      </c>
      <c r="AZ5" s="20" t="s">
        <v>533</v>
      </c>
      <c r="BA5" s="20" t="s">
        <v>534</v>
      </c>
      <c r="BB5" s="20" t="s">
        <v>535</v>
      </c>
      <c r="BC5" s="28" t="s">
        <v>536</v>
      </c>
      <c r="BD5" s="20" t="s">
        <v>537</v>
      </c>
      <c r="BE5" s="20" t="s">
        <v>538</v>
      </c>
      <c r="BF5" s="28" t="s">
        <v>539</v>
      </c>
      <c r="BG5" s="20" t="s">
        <v>540</v>
      </c>
      <c r="BH5" s="20" t="s">
        <v>541</v>
      </c>
      <c r="BI5" s="28" t="s">
        <v>542</v>
      </c>
    </row>
    <row r="6" spans="1:61" s="34" customFormat="1" ht="409.5" x14ac:dyDescent="0.25">
      <c r="A6" s="34" t="s">
        <v>123</v>
      </c>
      <c r="B6" s="34" t="s">
        <v>65</v>
      </c>
      <c r="C6" s="34" t="s">
        <v>543</v>
      </c>
      <c r="D6" s="34" t="s">
        <v>544</v>
      </c>
      <c r="E6" s="34" t="s">
        <v>545</v>
      </c>
      <c r="F6" s="30"/>
      <c r="G6" s="34" t="s">
        <v>546</v>
      </c>
      <c r="H6" s="34" t="s">
        <v>547</v>
      </c>
      <c r="I6" s="34" t="s">
        <v>548</v>
      </c>
      <c r="J6" s="34" t="s">
        <v>549</v>
      </c>
      <c r="K6" s="34" t="s">
        <v>550</v>
      </c>
      <c r="L6" s="34" t="s">
        <v>551</v>
      </c>
      <c r="M6" s="34" t="s">
        <v>552</v>
      </c>
      <c r="N6" s="34" t="s">
        <v>553</v>
      </c>
      <c r="O6" s="34" t="s">
        <v>554</v>
      </c>
      <c r="P6" s="34" t="s">
        <v>555</v>
      </c>
      <c r="Q6" s="34" t="s">
        <v>556</v>
      </c>
      <c r="R6" s="34" t="s">
        <v>557</v>
      </c>
      <c r="S6" s="34" t="s">
        <v>558</v>
      </c>
      <c r="T6" s="34" t="s">
        <v>559</v>
      </c>
      <c r="U6" s="34" t="s">
        <v>560</v>
      </c>
      <c r="V6" s="34" t="s">
        <v>561</v>
      </c>
      <c r="W6" s="34" t="s">
        <v>562</v>
      </c>
      <c r="X6" s="34" t="s">
        <v>563</v>
      </c>
      <c r="Y6" s="34" t="s">
        <v>564</v>
      </c>
      <c r="Z6" s="34" t="s">
        <v>565</v>
      </c>
      <c r="AA6" s="34" t="s">
        <v>566</v>
      </c>
      <c r="AB6" s="34" t="s">
        <v>567</v>
      </c>
      <c r="AC6" s="34" t="s">
        <v>568</v>
      </c>
      <c r="AD6" s="34" t="s">
        <v>569</v>
      </c>
      <c r="AE6" s="34" t="s">
        <v>570</v>
      </c>
      <c r="AF6" s="34" t="s">
        <v>571</v>
      </c>
      <c r="AG6" s="34" t="s">
        <v>572</v>
      </c>
      <c r="AH6" s="34" t="s">
        <v>573</v>
      </c>
      <c r="AI6" s="34" t="s">
        <v>574</v>
      </c>
      <c r="AJ6" s="34" t="s">
        <v>575</v>
      </c>
      <c r="AK6" s="34" t="s">
        <v>576</v>
      </c>
      <c r="AL6" s="34" t="s">
        <v>577</v>
      </c>
      <c r="AM6" s="34" t="s">
        <v>578</v>
      </c>
      <c r="AN6" s="34" t="s">
        <v>579</v>
      </c>
      <c r="AO6" s="34" t="s">
        <v>580</v>
      </c>
      <c r="AP6" s="34" t="s">
        <v>581</v>
      </c>
      <c r="AQ6" s="34" t="s">
        <v>582</v>
      </c>
      <c r="AR6" s="34" t="s">
        <v>583</v>
      </c>
      <c r="AS6" s="34" t="s">
        <v>584</v>
      </c>
      <c r="AT6" s="34" t="s">
        <v>585</v>
      </c>
      <c r="AU6" s="34" t="s">
        <v>586</v>
      </c>
      <c r="AV6" s="34" t="s">
        <v>587</v>
      </c>
      <c r="AW6" s="34" t="s">
        <v>588</v>
      </c>
      <c r="AX6" s="34" t="s">
        <v>589</v>
      </c>
      <c r="AY6" s="34" t="s">
        <v>590</v>
      </c>
      <c r="AZ6" s="34" t="s">
        <v>591</v>
      </c>
      <c r="BA6" s="34" t="s">
        <v>592</v>
      </c>
      <c r="BB6" s="34" t="s">
        <v>593</v>
      </c>
      <c r="BC6" s="34" t="s">
        <v>594</v>
      </c>
      <c r="BD6" s="34" t="s">
        <v>595</v>
      </c>
      <c r="BE6" s="34" t="s">
        <v>596</v>
      </c>
      <c r="BF6" s="34" t="s">
        <v>597</v>
      </c>
      <c r="BG6" s="34" t="s">
        <v>598</v>
      </c>
      <c r="BH6" s="34" t="s">
        <v>599</v>
      </c>
      <c r="BI6" s="34" t="s">
        <v>600</v>
      </c>
    </row>
    <row r="7" spans="1:61" customFormat="1" ht="18.75" x14ac:dyDescent="0.25">
      <c r="A7" s="47" t="s">
        <v>457</v>
      </c>
      <c r="B7" s="35" t="s">
        <v>103</v>
      </c>
      <c r="C7" s="35" t="s">
        <v>104</v>
      </c>
      <c r="D7" s="35" t="s">
        <v>104</v>
      </c>
      <c r="E7" s="35" t="s">
        <v>104</v>
      </c>
      <c r="F7" s="14"/>
      <c r="G7" s="38" t="s">
        <v>104</v>
      </c>
      <c r="H7" s="38" t="s">
        <v>458</v>
      </c>
      <c r="I7" s="38" t="s">
        <v>601</v>
      </c>
      <c r="J7" s="38" t="s">
        <v>459</v>
      </c>
      <c r="K7" s="38" t="s">
        <v>459</v>
      </c>
      <c r="L7" s="38" t="s">
        <v>104</v>
      </c>
      <c r="M7" s="38" t="s">
        <v>602</v>
      </c>
      <c r="N7" s="38" t="s">
        <v>602</v>
      </c>
      <c r="O7" s="38" t="s">
        <v>104</v>
      </c>
      <c r="P7" s="38" t="s">
        <v>104</v>
      </c>
      <c r="Q7" s="38" t="s">
        <v>104</v>
      </c>
      <c r="R7" s="38" t="s">
        <v>104</v>
      </c>
      <c r="S7" s="38" t="s">
        <v>104</v>
      </c>
      <c r="T7" s="38" t="s">
        <v>104</v>
      </c>
      <c r="U7" s="38" t="s">
        <v>603</v>
      </c>
      <c r="V7" s="38" t="s">
        <v>459</v>
      </c>
      <c r="W7" s="38" t="s">
        <v>604</v>
      </c>
      <c r="X7" s="38" t="s">
        <v>459</v>
      </c>
      <c r="Y7" s="38" t="s">
        <v>459</v>
      </c>
      <c r="Z7" s="38" t="s">
        <v>104</v>
      </c>
      <c r="AA7" s="38" t="s">
        <v>104</v>
      </c>
      <c r="AB7" s="38" t="s">
        <v>104</v>
      </c>
      <c r="AC7" s="38" t="s">
        <v>459</v>
      </c>
      <c r="AD7" s="38" t="s">
        <v>601</v>
      </c>
      <c r="AE7" s="38" t="s">
        <v>458</v>
      </c>
      <c r="AF7" s="38" t="s">
        <v>458</v>
      </c>
      <c r="AG7" s="38" t="s">
        <v>104</v>
      </c>
      <c r="AH7" s="38" t="s">
        <v>104</v>
      </c>
      <c r="AI7" s="38" t="s">
        <v>104</v>
      </c>
      <c r="AJ7" s="38" t="s">
        <v>104</v>
      </c>
      <c r="AK7" s="38" t="s">
        <v>459</v>
      </c>
      <c r="AL7" s="38" t="s">
        <v>104</v>
      </c>
      <c r="AM7" s="38" t="s">
        <v>104</v>
      </c>
      <c r="AN7" s="38" t="s">
        <v>459</v>
      </c>
      <c r="AO7" s="38" t="s">
        <v>104</v>
      </c>
      <c r="AP7" s="38" t="s">
        <v>459</v>
      </c>
      <c r="AQ7" s="38" t="s">
        <v>603</v>
      </c>
      <c r="AR7" s="38" t="s">
        <v>459</v>
      </c>
      <c r="AS7" s="38" t="s">
        <v>104</v>
      </c>
      <c r="AT7" s="38" t="s">
        <v>459</v>
      </c>
      <c r="AU7" s="38" t="s">
        <v>104</v>
      </c>
      <c r="AV7" s="38" t="s">
        <v>104</v>
      </c>
      <c r="AW7" s="38" t="s">
        <v>603</v>
      </c>
      <c r="AX7" s="38" t="s">
        <v>459</v>
      </c>
      <c r="AY7" s="38" t="s">
        <v>603</v>
      </c>
      <c r="AZ7" s="38" t="s">
        <v>104</v>
      </c>
      <c r="BA7" s="38" t="s">
        <v>104</v>
      </c>
      <c r="BB7" s="38" t="s">
        <v>104</v>
      </c>
      <c r="BC7" s="38" t="s">
        <v>104</v>
      </c>
      <c r="BD7" s="38" t="s">
        <v>104</v>
      </c>
      <c r="BE7" s="38" t="s">
        <v>104</v>
      </c>
      <c r="BF7" s="38" t="s">
        <v>104</v>
      </c>
      <c r="BG7" s="38" t="s">
        <v>104</v>
      </c>
      <c r="BH7" s="38" t="s">
        <v>104</v>
      </c>
      <c r="BI7" s="38" t="s">
        <v>104</v>
      </c>
    </row>
    <row r="8" spans="1:61" x14ac:dyDescent="0.25">
      <c r="A8" s="41" t="s">
        <v>137</v>
      </c>
    </row>
    <row r="9" spans="1:61" x14ac:dyDescent="0.25">
      <c r="C9" s="39">
        <v>27070203</v>
      </c>
      <c r="D9" s="39">
        <v>13</v>
      </c>
      <c r="E9" s="39" t="s">
        <v>643</v>
      </c>
      <c r="H9" s="39">
        <v>230</v>
      </c>
      <c r="J9" s="39">
        <v>40</v>
      </c>
      <c r="L9" s="39" t="s">
        <v>619</v>
      </c>
      <c r="M9" s="39">
        <v>-25</v>
      </c>
      <c r="N9" s="39">
        <v>60</v>
      </c>
      <c r="O9" s="39">
        <v>1</v>
      </c>
      <c r="R9" s="39" t="s">
        <v>620</v>
      </c>
      <c r="AB9" s="39">
        <v>13</v>
      </c>
    </row>
    <row r="10" spans="1:61" x14ac:dyDescent="0.25">
      <c r="C10" s="39">
        <v>27070203</v>
      </c>
      <c r="D10" s="39">
        <v>13</v>
      </c>
      <c r="E10" s="40" t="s">
        <v>644</v>
      </c>
      <c r="G10" s="40"/>
      <c r="H10" s="39">
        <v>230</v>
      </c>
      <c r="J10" s="39">
        <v>40</v>
      </c>
      <c r="L10" s="39" t="s">
        <v>619</v>
      </c>
      <c r="M10" s="39">
        <v>-25</v>
      </c>
      <c r="N10" s="39">
        <v>60</v>
      </c>
      <c r="O10" s="39">
        <v>2</v>
      </c>
      <c r="R10" s="39" t="s">
        <v>620</v>
      </c>
      <c r="AB10" s="39">
        <v>13</v>
      </c>
    </row>
    <row r="11" spans="1:61" x14ac:dyDescent="0.25">
      <c r="C11" s="39">
        <v>27070203</v>
      </c>
      <c r="D11" s="39">
        <v>13</v>
      </c>
      <c r="E11" s="39" t="s">
        <v>645</v>
      </c>
      <c r="H11" s="39">
        <v>230</v>
      </c>
      <c r="J11" s="39">
        <v>40</v>
      </c>
      <c r="L11" s="39" t="s">
        <v>619</v>
      </c>
      <c r="M11" s="39">
        <v>-25</v>
      </c>
      <c r="N11" s="39">
        <v>60</v>
      </c>
      <c r="O11" s="39">
        <v>3</v>
      </c>
      <c r="R11" s="39" t="s">
        <v>620</v>
      </c>
      <c r="AB11" s="39">
        <v>13</v>
      </c>
    </row>
    <row r="12" spans="1:61" x14ac:dyDescent="0.25">
      <c r="C12" s="39">
        <v>27070203</v>
      </c>
      <c r="D12" s="39">
        <v>13</v>
      </c>
      <c r="E12" s="39" t="s">
        <v>646</v>
      </c>
      <c r="H12" s="39">
        <v>230</v>
      </c>
      <c r="J12" s="39">
        <v>40</v>
      </c>
      <c r="L12" s="39" t="s">
        <v>619</v>
      </c>
      <c r="M12" s="39">
        <v>-25</v>
      </c>
      <c r="N12" s="39">
        <v>60</v>
      </c>
      <c r="O12" s="39">
        <v>4</v>
      </c>
      <c r="R12" s="39" t="s">
        <v>620</v>
      </c>
      <c r="AB12" s="39">
        <v>13</v>
      </c>
    </row>
    <row r="13" spans="1:61" x14ac:dyDescent="0.25">
      <c r="C13" s="39">
        <v>27070203</v>
      </c>
      <c r="D13" s="39">
        <v>13</v>
      </c>
      <c r="E13" s="39" t="s">
        <v>647</v>
      </c>
      <c r="H13" s="39">
        <v>230</v>
      </c>
      <c r="J13" s="39">
        <v>63</v>
      </c>
      <c r="L13" s="39" t="s">
        <v>619</v>
      </c>
      <c r="M13" s="39">
        <v>-25</v>
      </c>
      <c r="N13" s="39">
        <v>60</v>
      </c>
      <c r="O13" s="39">
        <v>1</v>
      </c>
      <c r="R13" s="39" t="s">
        <v>620</v>
      </c>
      <c r="AB13" s="39">
        <v>13</v>
      </c>
    </row>
    <row r="14" spans="1:61" x14ac:dyDescent="0.25">
      <c r="C14" s="39">
        <v>27070203</v>
      </c>
      <c r="D14" s="39">
        <v>13</v>
      </c>
      <c r="E14" s="39" t="s">
        <v>648</v>
      </c>
      <c r="H14" s="39">
        <v>230</v>
      </c>
      <c r="J14" s="39">
        <v>63</v>
      </c>
      <c r="L14" s="39" t="s">
        <v>619</v>
      </c>
      <c r="M14" s="39">
        <v>-25</v>
      </c>
      <c r="N14" s="39">
        <v>60</v>
      </c>
      <c r="O14" s="39">
        <v>2</v>
      </c>
      <c r="R14" s="39" t="s">
        <v>620</v>
      </c>
      <c r="AB14" s="39">
        <v>13</v>
      </c>
    </row>
    <row r="15" spans="1:61" x14ac:dyDescent="0.25">
      <c r="C15" s="39">
        <v>27070203</v>
      </c>
      <c r="D15" s="39">
        <v>13</v>
      </c>
      <c r="E15" s="39" t="s">
        <v>649</v>
      </c>
      <c r="H15" s="39">
        <v>230</v>
      </c>
      <c r="J15" s="39">
        <v>63</v>
      </c>
      <c r="L15" s="39" t="s">
        <v>619</v>
      </c>
      <c r="M15" s="39">
        <v>-25</v>
      </c>
      <c r="N15" s="39">
        <v>60</v>
      </c>
      <c r="O15" s="39">
        <v>3</v>
      </c>
      <c r="R15" s="39" t="s">
        <v>620</v>
      </c>
      <c r="AB15" s="39">
        <v>13</v>
      </c>
    </row>
    <row r="16" spans="1:61" x14ac:dyDescent="0.25">
      <c r="C16" s="39">
        <v>27070203</v>
      </c>
      <c r="D16" s="39">
        <v>13</v>
      </c>
      <c r="E16" s="39" t="s">
        <v>650</v>
      </c>
      <c r="H16" s="39">
        <v>230</v>
      </c>
      <c r="J16" s="39">
        <v>63</v>
      </c>
      <c r="L16" s="39" t="s">
        <v>619</v>
      </c>
      <c r="M16" s="39">
        <v>-25</v>
      </c>
      <c r="N16" s="39">
        <v>60</v>
      </c>
      <c r="O16" s="39">
        <v>4</v>
      </c>
      <c r="R16" s="39" t="s">
        <v>620</v>
      </c>
      <c r="AB16" s="39">
        <v>13</v>
      </c>
    </row>
    <row r="17" spans="3:28" x14ac:dyDescent="0.25">
      <c r="C17" s="39">
        <v>27070203</v>
      </c>
      <c r="D17" s="39">
        <v>13</v>
      </c>
      <c r="E17" s="39" t="s">
        <v>651</v>
      </c>
      <c r="H17" s="39">
        <v>230</v>
      </c>
      <c r="J17" s="39">
        <v>80</v>
      </c>
      <c r="L17" s="39" t="s">
        <v>619</v>
      </c>
      <c r="M17" s="39">
        <v>-25</v>
      </c>
      <c r="N17" s="39">
        <v>60</v>
      </c>
      <c r="O17" s="39">
        <v>1</v>
      </c>
      <c r="R17" s="39" t="s">
        <v>620</v>
      </c>
      <c r="AB17" s="39">
        <v>13</v>
      </c>
    </row>
    <row r="18" spans="3:28" x14ac:dyDescent="0.25">
      <c r="C18" s="39">
        <v>27070203</v>
      </c>
      <c r="D18" s="39">
        <v>13</v>
      </c>
      <c r="E18" s="39" t="s">
        <v>652</v>
      </c>
      <c r="H18" s="39">
        <v>230</v>
      </c>
      <c r="J18" s="39">
        <v>80</v>
      </c>
      <c r="L18" s="39" t="s">
        <v>619</v>
      </c>
      <c r="M18" s="39">
        <v>-25</v>
      </c>
      <c r="N18" s="39">
        <v>60</v>
      </c>
      <c r="O18" s="39">
        <v>2</v>
      </c>
      <c r="R18" s="39" t="s">
        <v>620</v>
      </c>
      <c r="AB18" s="39">
        <v>13</v>
      </c>
    </row>
    <row r="19" spans="3:28" x14ac:dyDescent="0.25">
      <c r="C19" s="39">
        <v>27070203</v>
      </c>
      <c r="D19" s="39">
        <v>13</v>
      </c>
      <c r="E19" s="39" t="s">
        <v>653</v>
      </c>
      <c r="H19" s="39">
        <v>230</v>
      </c>
      <c r="J19" s="39">
        <v>80</v>
      </c>
      <c r="L19" s="39" t="s">
        <v>619</v>
      </c>
      <c r="M19" s="39">
        <v>-25</v>
      </c>
      <c r="N19" s="39">
        <v>60</v>
      </c>
      <c r="O19" s="39">
        <v>3</v>
      </c>
      <c r="R19" s="39" t="s">
        <v>620</v>
      </c>
      <c r="AB19" s="39">
        <v>13</v>
      </c>
    </row>
    <row r="20" spans="3:28" x14ac:dyDescent="0.25">
      <c r="C20" s="39">
        <v>27070203</v>
      </c>
      <c r="D20" s="39">
        <v>13</v>
      </c>
      <c r="E20" s="39" t="s">
        <v>654</v>
      </c>
      <c r="H20" s="39">
        <v>230</v>
      </c>
      <c r="J20" s="39">
        <v>80</v>
      </c>
      <c r="L20" s="39" t="s">
        <v>619</v>
      </c>
      <c r="M20" s="39">
        <v>-25</v>
      </c>
      <c r="N20" s="39">
        <v>60</v>
      </c>
      <c r="O20" s="39">
        <v>4</v>
      </c>
      <c r="R20" s="39" t="s">
        <v>620</v>
      </c>
      <c r="AB20" s="39">
        <v>13</v>
      </c>
    </row>
    <row r="21" spans="3:28" x14ac:dyDescent="0.25">
      <c r="C21" s="39">
        <v>27070203</v>
      </c>
      <c r="D21" s="39">
        <v>13</v>
      </c>
      <c r="E21" s="39" t="s">
        <v>655</v>
      </c>
      <c r="H21" s="39">
        <v>230</v>
      </c>
      <c r="J21" s="39">
        <v>100</v>
      </c>
      <c r="L21" s="39" t="s">
        <v>619</v>
      </c>
      <c r="M21" s="39">
        <v>-25</v>
      </c>
      <c r="N21" s="39">
        <v>60</v>
      </c>
      <c r="O21" s="39">
        <v>1</v>
      </c>
      <c r="R21" s="39" t="s">
        <v>620</v>
      </c>
      <c r="AB21" s="39">
        <v>13</v>
      </c>
    </row>
    <row r="22" spans="3:28" x14ac:dyDescent="0.25">
      <c r="C22" s="39">
        <v>27070203</v>
      </c>
      <c r="D22" s="39">
        <v>13</v>
      </c>
      <c r="E22" s="39" t="s">
        <v>656</v>
      </c>
      <c r="H22" s="39">
        <v>230</v>
      </c>
      <c r="J22" s="39">
        <v>100</v>
      </c>
      <c r="L22" s="39" t="s">
        <v>619</v>
      </c>
      <c r="M22" s="39">
        <v>-25</v>
      </c>
      <c r="N22" s="39">
        <v>60</v>
      </c>
      <c r="O22" s="39">
        <v>2</v>
      </c>
      <c r="R22" s="39" t="s">
        <v>620</v>
      </c>
      <c r="AB22" s="39">
        <v>13</v>
      </c>
    </row>
    <row r="23" spans="3:28" x14ac:dyDescent="0.25">
      <c r="C23" s="39">
        <v>27070203</v>
      </c>
      <c r="D23" s="39">
        <v>13</v>
      </c>
      <c r="E23" s="39" t="s">
        <v>657</v>
      </c>
      <c r="H23" s="39">
        <v>230</v>
      </c>
      <c r="J23" s="39">
        <v>100</v>
      </c>
      <c r="L23" s="39" t="s">
        <v>619</v>
      </c>
      <c r="M23" s="39">
        <v>-25</v>
      </c>
      <c r="N23" s="39">
        <v>60</v>
      </c>
      <c r="O23" s="39">
        <v>3</v>
      </c>
      <c r="R23" s="39" t="s">
        <v>620</v>
      </c>
      <c r="AB23" s="39">
        <v>13</v>
      </c>
    </row>
    <row r="24" spans="3:28" x14ac:dyDescent="0.25">
      <c r="C24" s="39">
        <v>27070203</v>
      </c>
      <c r="D24" s="39">
        <v>13</v>
      </c>
      <c r="E24" s="39" t="s">
        <v>658</v>
      </c>
      <c r="H24" s="39">
        <v>230</v>
      </c>
      <c r="J24" s="39">
        <v>100</v>
      </c>
      <c r="L24" s="39" t="s">
        <v>619</v>
      </c>
      <c r="M24" s="39">
        <v>-25</v>
      </c>
      <c r="N24" s="39">
        <v>60</v>
      </c>
      <c r="O24" s="39">
        <v>4</v>
      </c>
      <c r="R24" s="39" t="s">
        <v>620</v>
      </c>
      <c r="AB24" s="39">
        <v>13</v>
      </c>
    </row>
    <row r="25" spans="3:28" x14ac:dyDescent="0.25">
      <c r="C25" s="39">
        <v>27070203</v>
      </c>
      <c r="D25" s="39">
        <v>13</v>
      </c>
      <c r="E25" s="39" t="s">
        <v>659</v>
      </c>
      <c r="H25" s="39">
        <v>230</v>
      </c>
      <c r="J25" s="39">
        <v>125</v>
      </c>
      <c r="L25" s="39" t="s">
        <v>619</v>
      </c>
      <c r="M25" s="39">
        <v>-25</v>
      </c>
      <c r="N25" s="39">
        <v>60</v>
      </c>
      <c r="O25" s="39">
        <v>1</v>
      </c>
      <c r="R25" s="39" t="s">
        <v>620</v>
      </c>
      <c r="AB25" s="39">
        <v>13</v>
      </c>
    </row>
    <row r="26" spans="3:28" x14ac:dyDescent="0.25">
      <c r="C26" s="39">
        <v>27070203</v>
      </c>
      <c r="D26" s="39">
        <v>13</v>
      </c>
      <c r="E26" s="39" t="s">
        <v>660</v>
      </c>
      <c r="H26" s="39">
        <v>230</v>
      </c>
      <c r="J26" s="39">
        <v>125</v>
      </c>
      <c r="L26" s="39" t="s">
        <v>619</v>
      </c>
      <c r="M26" s="39">
        <v>-25</v>
      </c>
      <c r="N26" s="39">
        <v>60</v>
      </c>
      <c r="O26" s="39">
        <v>2</v>
      </c>
      <c r="R26" s="39" t="s">
        <v>620</v>
      </c>
      <c r="AB26" s="39">
        <v>13</v>
      </c>
    </row>
    <row r="27" spans="3:28" x14ac:dyDescent="0.25">
      <c r="C27" s="39">
        <v>27070203</v>
      </c>
      <c r="D27" s="39">
        <v>13</v>
      </c>
      <c r="E27" s="39" t="s">
        <v>661</v>
      </c>
      <c r="H27" s="39">
        <v>230</v>
      </c>
      <c r="J27" s="39">
        <v>125</v>
      </c>
      <c r="L27" s="39" t="s">
        <v>619</v>
      </c>
      <c r="M27" s="39">
        <v>-25</v>
      </c>
      <c r="N27" s="39">
        <v>60</v>
      </c>
      <c r="O27" s="39">
        <v>3</v>
      </c>
      <c r="R27" s="39" t="s">
        <v>620</v>
      </c>
      <c r="AB27" s="39">
        <v>13</v>
      </c>
    </row>
    <row r="28" spans="3:28" x14ac:dyDescent="0.25">
      <c r="C28" s="39">
        <v>27070203</v>
      </c>
      <c r="D28" s="39">
        <v>13</v>
      </c>
      <c r="E28" s="39" t="s">
        <v>662</v>
      </c>
      <c r="H28" s="39">
        <v>230</v>
      </c>
      <c r="J28" s="39">
        <v>125</v>
      </c>
      <c r="L28" s="39" t="s">
        <v>619</v>
      </c>
      <c r="M28" s="39">
        <v>-25</v>
      </c>
      <c r="N28" s="39">
        <v>60</v>
      </c>
      <c r="O28" s="39">
        <v>4</v>
      </c>
      <c r="R28" s="39" t="s">
        <v>620</v>
      </c>
      <c r="AB28" s="39">
        <v>13</v>
      </c>
    </row>
  </sheetData>
  <phoneticPr fontId="32" type="noConversion"/>
  <hyperlinks>
    <hyperlink ref="G5" location="AAN521_color_HELP" display="AAN521" xr:uid="{ACBBFC9D-6D9E-439B-A83A-67461020D56A}"/>
    <hyperlink ref="L5" location="BAD915_voltage_type_HELP" display="BAD915" xr:uid="{D9623487-3181-4405-83EC-1A9F8957334B}"/>
    <hyperlink ref="R5" location="BAG975_degree_of_protection_HELP" display="BAG975" xr:uid="{E4AC8B2B-18F6-422F-9FB2-A0976E0BE2CE}"/>
    <hyperlink ref="S5" location="BAC140_combustibility_class_HELP" display="BAC140" xr:uid="{82AFCB00-F309-44F5-B12C-FAB63BFB4A34}"/>
    <hyperlink ref="AA5" location="BAC426_function_HELP" display="BAC426" xr:uid="{93380DCA-7B10-4A5B-9E63-807A0D26E1AA}"/>
    <hyperlink ref="AB5" location="BAC378_connection_type_HELP" display="BAC378" xr:uid="{BB7F0BAE-7B8D-4835-90E8-4994CB1D7709}"/>
    <hyperlink ref="AH5" location="BAA297_type_of_protocol_HELP" display="BAA297" xr:uid="{EE5AB087-0EB9-4CFD-8F74-CE7B2C1CE39D}"/>
    <hyperlink ref="AI5" location="BAC050_type_of_actuation_HELP" display="BAC050" xr:uid="{7573703A-FD9C-4D8A-9757-F47A655DB5AE}"/>
    <hyperlink ref="AO5" location="AAB438_release_class_HELP" display="AAB438" xr:uid="{859A2D2D-D6AC-4CD6-92E8-DF30114E7CBF}"/>
    <hyperlink ref="AS5" location="AAM479_supported_protocol_HELP" display="AAM479" xr:uid="{0E16C69E-0189-49C0-85AD-D3FEB322E11A}"/>
    <hyperlink ref="AU5" location="AAS565_kind_of_motor_starter_HELP" display="AAS565" xr:uid="{BC02AF2F-D411-4CA5-939B-CD7AD1D84181}"/>
    <hyperlink ref="AV5" location="AAB416_design_electrical_connection_auxiliary_control_current_circuit_HELP" display="AAB416" xr:uid="{B572ADB2-3540-4354-9905-95C06F606FC0}"/>
    <hyperlink ref="BC5" location="AAZ487_degree_of_protection_front_side_HELP" display="AAZ487" xr:uid="{FC5C2237-9668-401F-9FC0-F32C663E2230}"/>
    <hyperlink ref="T5" location="BAB392_certificate_approval_HELP" display="BAB392" xr:uid="{EF685BFF-5250-4D26-9FCB-9CCA21277ADB}"/>
    <hyperlink ref="BF5" location="AAB414_design_of_electrical_connection_HELP" display="AAB414" xr:uid="{2DC3CD6A-C731-4989-8561-8540B2E4A7EF}"/>
    <hyperlink ref="BI5" location="BAC915_switch_function_HELP" display="BAC915" xr:uid="{E47254C5-4887-43E5-9A37-3D9E890DAD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Material Master Data</vt:lpstr>
      <vt:lpstr>Additional Documents</vt:lpstr>
      <vt:lpstr>Connection Point Information</vt:lpstr>
      <vt:lpstr>Product Accessory</vt:lpstr>
      <vt:lpstr>contactor a. fuses</vt:lpstr>
    </vt:vector>
  </TitlesOfParts>
  <Company>CADENAS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Kristijan Lovrić</dc:creator>
  <cp:lastModifiedBy>Kristijan Lovrić</cp:lastModifiedBy>
  <dcterms:created xsi:type="dcterms:W3CDTF">2026-03-03T14:20:18Z</dcterms:created>
  <dcterms:modified xsi:type="dcterms:W3CDTF">2026-04-20T09:23:54Z</dcterms:modified>
</cp:coreProperties>
</file>